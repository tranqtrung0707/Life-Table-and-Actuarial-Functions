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MEGA\Actuary\FAM\FAM-L\"/>
    </mc:Choice>
  </mc:AlternateContent>
  <xr:revisionPtr revIDLastSave="0" documentId="13_ncr:1_{2639F401-8578-43A0-8E2A-31122820D58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ife Table" sheetId="1" r:id="rId1"/>
    <sheet name="Actuarial Functions" sheetId="2" r:id="rId2"/>
  </sheets>
  <definedNames>
    <definedName name="i">'Life Table'!$F$4</definedName>
    <definedName name="m">'Actuarial Functions'!$C$4</definedName>
    <definedName name="Makeham_A">'Life Table'!$C$4</definedName>
    <definedName name="Makeham_B">'Life Table'!$C$5</definedName>
    <definedName name="Makeham_c">'Life Table'!$C$6</definedName>
    <definedName name="n">'Actuarial Functions'!$C$3</definedName>
    <definedName name="x">'Actuarial Functions'!$C$2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2" l="1"/>
  <c r="C16" i="2"/>
  <c r="C15" i="2"/>
  <c r="C19" i="2"/>
  <c r="C18" i="2"/>
  <c r="G129" i="1"/>
  <c r="F129" i="1"/>
  <c r="E12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9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6" i="2" l="1"/>
  <c r="C7" i="2"/>
  <c r="N73" i="1"/>
  <c r="N78" i="1"/>
  <c r="N83" i="1"/>
  <c r="M29" i="1"/>
  <c r="M33" i="1"/>
  <c r="M38" i="1"/>
  <c r="M42" i="1"/>
  <c r="M48" i="1"/>
  <c r="M53" i="1"/>
  <c r="M59" i="1"/>
  <c r="M65" i="1"/>
  <c r="M94" i="1"/>
  <c r="M99" i="1"/>
  <c r="M103" i="1"/>
  <c r="M107" i="1"/>
  <c r="M112" i="1"/>
  <c r="M117" i="1"/>
  <c r="L11" i="1"/>
  <c r="L16" i="1"/>
  <c r="L21" i="1"/>
  <c r="L40" i="1"/>
  <c r="L47" i="1"/>
  <c r="L55" i="1"/>
  <c r="L62" i="1"/>
  <c r="L70" i="1"/>
  <c r="L77" i="1"/>
  <c r="L84" i="1"/>
  <c r="L94" i="1"/>
  <c r="N64" i="1"/>
  <c r="M37" i="1"/>
  <c r="M44" i="1"/>
  <c r="M52" i="1"/>
  <c r="M57" i="1"/>
  <c r="M64" i="1"/>
  <c r="M69" i="1"/>
  <c r="M73" i="1"/>
  <c r="M77" i="1"/>
  <c r="M82" i="1"/>
  <c r="M88" i="1"/>
  <c r="M92" i="1"/>
  <c r="M96" i="1"/>
  <c r="M101" i="1"/>
  <c r="M105" i="1"/>
  <c r="M110" i="1"/>
  <c r="M116" i="1"/>
  <c r="L10" i="1"/>
  <c r="L17" i="1"/>
  <c r="L22" i="1"/>
  <c r="L41" i="1"/>
  <c r="L50" i="1"/>
  <c r="L57" i="1"/>
  <c r="L63" i="1"/>
  <c r="L69" i="1"/>
  <c r="L76" i="1"/>
  <c r="L82" i="1"/>
  <c r="L88" i="1"/>
  <c r="L96" i="1"/>
  <c r="N65" i="1"/>
  <c r="N70" i="1"/>
  <c r="N75" i="1"/>
  <c r="N80" i="1"/>
  <c r="M24" i="1"/>
  <c r="M28" i="1"/>
  <c r="M31" i="1"/>
  <c r="M35" i="1"/>
  <c r="M40" i="1"/>
  <c r="M45" i="1"/>
  <c r="M49" i="1"/>
  <c r="M55" i="1"/>
  <c r="M61" i="1"/>
  <c r="M66" i="1"/>
  <c r="M70" i="1"/>
  <c r="M75" i="1"/>
  <c r="M78" i="1"/>
  <c r="M81" i="1"/>
  <c r="M85" i="1"/>
  <c r="M89" i="1"/>
  <c r="M118" i="1"/>
  <c r="L13" i="1"/>
  <c r="L19" i="1"/>
  <c r="L37" i="1"/>
  <c r="L45" i="1"/>
  <c r="L52" i="1"/>
  <c r="L59" i="1"/>
  <c r="L66" i="1"/>
  <c r="L71" i="1"/>
  <c r="L79" i="1"/>
  <c r="L85" i="1"/>
  <c r="L91" i="1"/>
  <c r="L97" i="1"/>
  <c r="N27" i="1"/>
  <c r="N30" i="1"/>
  <c r="N32" i="1"/>
  <c r="N33" i="1"/>
  <c r="N35" i="1"/>
  <c r="N37" i="1"/>
  <c r="N38" i="1"/>
  <c r="N40" i="1"/>
  <c r="N42" i="1"/>
  <c r="N44" i="1"/>
  <c r="N46" i="1"/>
  <c r="N48" i="1"/>
  <c r="N50" i="1"/>
  <c r="N51" i="1"/>
  <c r="N53" i="1"/>
  <c r="N55" i="1"/>
  <c r="N57" i="1"/>
  <c r="N58" i="1"/>
  <c r="N61" i="1"/>
  <c r="N63" i="1"/>
  <c r="N66" i="1"/>
  <c r="N68" i="1"/>
  <c r="N71" i="1"/>
  <c r="N74" i="1"/>
  <c r="N77" i="1"/>
  <c r="N81" i="1"/>
  <c r="N84" i="1"/>
  <c r="M26" i="1"/>
  <c r="M30" i="1"/>
  <c r="M34" i="1"/>
  <c r="M39" i="1"/>
  <c r="M43" i="1"/>
  <c r="M47" i="1"/>
  <c r="M51" i="1"/>
  <c r="M56" i="1"/>
  <c r="M62" i="1"/>
  <c r="M67" i="1"/>
  <c r="M71" i="1"/>
  <c r="M74" i="1"/>
  <c r="M79" i="1"/>
  <c r="M84" i="1"/>
  <c r="M87" i="1"/>
  <c r="M91" i="1"/>
  <c r="M95" i="1"/>
  <c r="M98" i="1"/>
  <c r="M102" i="1"/>
  <c r="M106" i="1"/>
  <c r="M109" i="1"/>
  <c r="M114" i="1"/>
  <c r="M9" i="1"/>
  <c r="L15" i="1"/>
  <c r="L20" i="1"/>
  <c r="L39" i="1"/>
  <c r="L44" i="1"/>
  <c r="L49" i="1"/>
  <c r="L56" i="1"/>
  <c r="L60" i="1"/>
  <c r="L67" i="1"/>
  <c r="L73" i="1"/>
  <c r="L98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8" i="1"/>
  <c r="N29" i="1"/>
  <c r="N31" i="1"/>
  <c r="N34" i="1"/>
  <c r="N36" i="1"/>
  <c r="N39" i="1"/>
  <c r="N41" i="1"/>
  <c r="N43" i="1"/>
  <c r="N45" i="1"/>
  <c r="N47" i="1"/>
  <c r="N49" i="1"/>
  <c r="N52" i="1"/>
  <c r="N54" i="1"/>
  <c r="N56" i="1"/>
  <c r="N59" i="1"/>
  <c r="N60" i="1"/>
  <c r="N62" i="1"/>
  <c r="N67" i="1"/>
  <c r="N69" i="1"/>
  <c r="N72" i="1"/>
  <c r="N76" i="1"/>
  <c r="N79" i="1"/>
  <c r="N82" i="1"/>
  <c r="M25" i="1"/>
  <c r="M27" i="1"/>
  <c r="M32" i="1"/>
  <c r="M36" i="1"/>
  <c r="M41" i="1"/>
  <c r="M46" i="1"/>
  <c r="M50" i="1"/>
  <c r="M54" i="1"/>
  <c r="M58" i="1"/>
  <c r="M63" i="1"/>
  <c r="M68" i="1"/>
  <c r="M72" i="1"/>
  <c r="M76" i="1"/>
  <c r="M80" i="1"/>
  <c r="M83" i="1"/>
  <c r="M86" i="1"/>
  <c r="M90" i="1"/>
  <c r="M93" i="1"/>
  <c r="M97" i="1"/>
  <c r="M100" i="1"/>
  <c r="M104" i="1"/>
  <c r="M108" i="1"/>
  <c r="M111" i="1"/>
  <c r="M115" i="1"/>
  <c r="M119" i="1"/>
  <c r="L14" i="1"/>
  <c r="L23" i="1"/>
  <c r="L42" i="1"/>
  <c r="L48" i="1"/>
  <c r="L53" i="1"/>
  <c r="L61" i="1"/>
  <c r="L68" i="1"/>
  <c r="L75" i="1"/>
  <c r="L81" i="1"/>
  <c r="L86" i="1"/>
  <c r="L90" i="1"/>
  <c r="L95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60" i="1"/>
  <c r="M113" i="1"/>
  <c r="L12" i="1"/>
  <c r="L18" i="1"/>
  <c r="L36" i="1"/>
  <c r="L46" i="1"/>
  <c r="L54" i="1"/>
  <c r="L65" i="1"/>
  <c r="L74" i="1"/>
  <c r="L80" i="1"/>
  <c r="L87" i="1"/>
  <c r="L93" i="1"/>
  <c r="L24" i="1"/>
  <c r="L25" i="1"/>
  <c r="L26" i="1"/>
  <c r="L27" i="1"/>
  <c r="L28" i="1"/>
  <c r="L29" i="1"/>
  <c r="L30" i="1"/>
  <c r="L31" i="1"/>
  <c r="L32" i="1"/>
  <c r="L33" i="1"/>
  <c r="L34" i="1"/>
  <c r="L35" i="1"/>
  <c r="L38" i="1"/>
  <c r="L43" i="1"/>
  <c r="L51" i="1"/>
  <c r="L58" i="1"/>
  <c r="L64" i="1"/>
  <c r="L72" i="1"/>
  <c r="L78" i="1"/>
  <c r="L83" i="1"/>
  <c r="L89" i="1"/>
  <c r="L92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9" i="1"/>
  <c r="C21" i="2"/>
  <c r="C20" i="2"/>
  <c r="D126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67" i="1"/>
  <c r="D118" i="1"/>
  <c r="D123" i="1"/>
  <c r="D12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8" i="1"/>
  <c r="D69" i="1"/>
  <c r="D115" i="1"/>
  <c r="D119" i="1"/>
  <c r="D122" i="1"/>
  <c r="D127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11" i="1"/>
  <c r="D113" i="1"/>
  <c r="D116" i="1"/>
  <c r="D120" i="1"/>
  <c r="D121" i="1"/>
  <c r="D124" i="1"/>
  <c r="D100" i="1"/>
  <c r="D101" i="1"/>
  <c r="D102" i="1"/>
  <c r="D103" i="1"/>
  <c r="D104" i="1"/>
  <c r="D105" i="1"/>
  <c r="D106" i="1"/>
  <c r="D107" i="1"/>
  <c r="D108" i="1"/>
  <c r="D109" i="1"/>
  <c r="D110" i="1"/>
  <c r="D112" i="1"/>
  <c r="D114" i="1"/>
  <c r="D117" i="1"/>
  <c r="D125" i="1"/>
  <c r="C8" i="2" l="1"/>
  <c r="G128" i="1"/>
  <c r="G127" i="1" s="1"/>
  <c r="G126" i="1" s="1"/>
  <c r="G125" i="1" s="1"/>
  <c r="G124" i="1" s="1"/>
  <c r="G123" i="1" s="1"/>
  <c r="G122" i="1" s="1"/>
  <c r="G121" i="1" s="1"/>
  <c r="G120" i="1" s="1"/>
  <c r="G119" i="1" s="1"/>
  <c r="G118" i="1" s="1"/>
  <c r="G117" i="1" s="1"/>
  <c r="G116" i="1" s="1"/>
  <c r="G115" i="1" s="1"/>
  <c r="G114" i="1" s="1"/>
  <c r="G113" i="1" s="1"/>
  <c r="G112" i="1" s="1"/>
  <c r="G111" i="1" s="1"/>
  <c r="G110" i="1" s="1"/>
  <c r="G109" i="1" s="1"/>
  <c r="G108" i="1" s="1"/>
  <c r="G107" i="1" s="1"/>
  <c r="G106" i="1" s="1"/>
  <c r="G105" i="1" s="1"/>
  <c r="G104" i="1" s="1"/>
  <c r="G103" i="1" s="1"/>
  <c r="G102" i="1" s="1"/>
  <c r="G101" i="1" s="1"/>
  <c r="G100" i="1" s="1"/>
  <c r="G99" i="1" s="1"/>
  <c r="G98" i="1" s="1"/>
  <c r="G97" i="1" s="1"/>
  <c r="G96" i="1" s="1"/>
  <c r="G95" i="1" s="1"/>
  <c r="C14" i="2" l="1"/>
  <c r="C9" i="2"/>
  <c r="E128" i="1"/>
  <c r="E127" i="1"/>
  <c r="G94" i="1"/>
  <c r="G93" i="1" s="1"/>
  <c r="G92" i="1" s="1"/>
  <c r="G91" i="1" s="1"/>
  <c r="G90" i="1" s="1"/>
  <c r="G89" i="1" s="1"/>
  <c r="G88" i="1" s="1"/>
  <c r="G87" i="1" s="1"/>
  <c r="G86" i="1" s="1"/>
  <c r="G85" i="1" s="1"/>
  <c r="G84" i="1" s="1"/>
  <c r="G83" i="1" s="1"/>
  <c r="G82" i="1" s="1"/>
  <c r="G81" i="1" s="1"/>
  <c r="G80" i="1" s="1"/>
  <c r="G79" i="1" s="1"/>
  <c r="G78" i="1" s="1"/>
  <c r="G77" i="1" s="1"/>
  <c r="G76" i="1" s="1"/>
  <c r="G75" i="1" s="1"/>
  <c r="G74" i="1" s="1"/>
  <c r="G73" i="1" s="1"/>
  <c r="G72" i="1" s="1"/>
  <c r="G71" i="1" s="1"/>
  <c r="G70" i="1" s="1"/>
  <c r="G69" i="1" s="1"/>
  <c r="G68" i="1" s="1"/>
  <c r="G67" i="1" s="1"/>
  <c r="G66" i="1" s="1"/>
  <c r="G65" i="1" s="1"/>
  <c r="G64" i="1" s="1"/>
  <c r="G63" i="1" s="1"/>
  <c r="G62" i="1" s="1"/>
  <c r="G61" i="1" s="1"/>
  <c r="G60" i="1" s="1"/>
  <c r="G59" i="1" s="1"/>
  <c r="G58" i="1" s="1"/>
  <c r="G57" i="1" s="1"/>
  <c r="G56" i="1" s="1"/>
  <c r="G55" i="1" s="1"/>
  <c r="G54" i="1" s="1"/>
  <c r="G53" i="1" s="1"/>
  <c r="G52" i="1" s="1"/>
  <c r="G51" i="1" s="1"/>
  <c r="G50" i="1" s="1"/>
  <c r="G49" i="1" s="1"/>
  <c r="G48" i="1" s="1"/>
  <c r="G47" i="1" s="1"/>
  <c r="G46" i="1" s="1"/>
  <c r="G45" i="1" s="1"/>
  <c r="G44" i="1" s="1"/>
  <c r="G43" i="1" s="1"/>
  <c r="G42" i="1" s="1"/>
  <c r="G41" i="1" s="1"/>
  <c r="G40" i="1" s="1"/>
  <c r="G39" i="1" s="1"/>
  <c r="G38" i="1" s="1"/>
  <c r="G37" i="1" s="1"/>
  <c r="G36" i="1" s="1"/>
  <c r="G35" i="1" s="1"/>
  <c r="G34" i="1" s="1"/>
  <c r="G33" i="1" s="1"/>
  <c r="G32" i="1" s="1"/>
  <c r="G31" i="1" s="1"/>
  <c r="G30" i="1" s="1"/>
  <c r="G29" i="1" s="1"/>
  <c r="G28" i="1" s="1"/>
  <c r="G27" i="1" s="1"/>
  <c r="G26" i="1" s="1"/>
  <c r="G25" i="1" s="1"/>
  <c r="G24" i="1" s="1"/>
  <c r="G23" i="1" s="1"/>
  <c r="G22" i="1" s="1"/>
  <c r="G21" i="1" s="1"/>
  <c r="G20" i="1" s="1"/>
  <c r="G19" i="1" s="1"/>
  <c r="G18" i="1" s="1"/>
  <c r="G17" i="1" s="1"/>
  <c r="G16" i="1" s="1"/>
  <c r="G15" i="1" s="1"/>
  <c r="G14" i="1" s="1"/>
  <c r="G13" i="1" s="1"/>
  <c r="G12" i="1" s="1"/>
  <c r="G11" i="1" s="1"/>
  <c r="G10" i="1" s="1"/>
  <c r="G9" i="1" s="1"/>
  <c r="F128" i="1"/>
  <c r="F127" i="1" s="1"/>
  <c r="F126" i="1" s="1"/>
  <c r="F125" i="1" s="1"/>
  <c r="F124" i="1" s="1"/>
  <c r="F123" i="1" s="1"/>
  <c r="F122" i="1" s="1"/>
  <c r="F121" i="1" s="1"/>
  <c r="F120" i="1" s="1"/>
  <c r="F119" i="1" s="1"/>
  <c r="F118" i="1" s="1"/>
  <c r="F117" i="1" s="1"/>
  <c r="F116" i="1" s="1"/>
  <c r="F115" i="1" s="1"/>
  <c r="F114" i="1" s="1"/>
  <c r="F113" i="1" s="1"/>
  <c r="F112" i="1" s="1"/>
  <c r="F111" i="1" s="1"/>
  <c r="F110" i="1" s="1"/>
  <c r="F109" i="1" s="1"/>
  <c r="F108" i="1" s="1"/>
  <c r="F107" i="1" s="1"/>
  <c r="F106" i="1" s="1"/>
  <c r="F105" i="1" s="1"/>
  <c r="F104" i="1" s="1"/>
  <c r="F103" i="1" s="1"/>
  <c r="F102" i="1" s="1"/>
  <c r="F101" i="1" s="1"/>
  <c r="F100" i="1" s="1"/>
  <c r="F99" i="1" s="1"/>
  <c r="F98" i="1" s="1"/>
  <c r="F97" i="1" s="1"/>
  <c r="F96" i="1" s="1"/>
  <c r="F95" i="1" s="1"/>
  <c r="F94" i="1" s="1"/>
  <c r="F93" i="1" s="1"/>
  <c r="F92" i="1" s="1"/>
  <c r="F91" i="1" s="1"/>
  <c r="F90" i="1" s="1"/>
  <c r="F89" i="1" s="1"/>
  <c r="F88" i="1" s="1"/>
  <c r="F87" i="1" s="1"/>
  <c r="F86" i="1" s="1"/>
  <c r="F85" i="1" s="1"/>
  <c r="F84" i="1" s="1"/>
  <c r="F83" i="1" s="1"/>
  <c r="F82" i="1" s="1"/>
  <c r="F81" i="1" s="1"/>
  <c r="F80" i="1" s="1"/>
  <c r="F79" i="1" s="1"/>
  <c r="F78" i="1" s="1"/>
  <c r="F77" i="1" s="1"/>
  <c r="F76" i="1" s="1"/>
  <c r="F75" i="1" s="1"/>
  <c r="F74" i="1" s="1"/>
  <c r="F73" i="1" s="1"/>
  <c r="F72" i="1" s="1"/>
  <c r="F71" i="1" s="1"/>
  <c r="F70" i="1" s="1"/>
  <c r="F69" i="1" s="1"/>
  <c r="F68" i="1" s="1"/>
  <c r="F67" i="1" s="1"/>
  <c r="F66" i="1" s="1"/>
  <c r="F65" i="1" s="1"/>
  <c r="F64" i="1" s="1"/>
  <c r="F63" i="1" s="1"/>
  <c r="F62" i="1" s="1"/>
  <c r="F61" i="1" s="1"/>
  <c r="F60" i="1" s="1"/>
  <c r="F59" i="1" s="1"/>
  <c r="F58" i="1" s="1"/>
  <c r="F57" i="1" s="1"/>
  <c r="F56" i="1" s="1"/>
  <c r="F55" i="1" s="1"/>
  <c r="F54" i="1" s="1"/>
  <c r="F53" i="1" s="1"/>
  <c r="F52" i="1" s="1"/>
  <c r="F51" i="1" s="1"/>
  <c r="F50" i="1" s="1"/>
  <c r="F49" i="1" s="1"/>
  <c r="F48" i="1" s="1"/>
  <c r="F47" i="1" s="1"/>
  <c r="F46" i="1" s="1"/>
  <c r="F45" i="1" s="1"/>
  <c r="F44" i="1" s="1"/>
  <c r="F43" i="1" s="1"/>
  <c r="F42" i="1" s="1"/>
  <c r="F41" i="1" s="1"/>
  <c r="F40" i="1" s="1"/>
  <c r="F39" i="1" s="1"/>
  <c r="F38" i="1" s="1"/>
  <c r="F37" i="1" s="1"/>
  <c r="F36" i="1" s="1"/>
  <c r="F35" i="1" s="1"/>
  <c r="F34" i="1" s="1"/>
  <c r="F33" i="1" s="1"/>
  <c r="F32" i="1" s="1"/>
  <c r="F31" i="1" s="1"/>
  <c r="F30" i="1" s="1"/>
  <c r="F29" i="1" s="1"/>
  <c r="F28" i="1" s="1"/>
  <c r="F27" i="1" s="1"/>
  <c r="F26" i="1" s="1"/>
  <c r="F25" i="1" l="1"/>
  <c r="F24" i="1" s="1"/>
  <c r="F23" i="1" s="1"/>
  <c r="F22" i="1" s="1"/>
  <c r="F21" i="1" s="1"/>
  <c r="F20" i="1" s="1"/>
  <c r="F19" i="1" s="1"/>
  <c r="F18" i="1" s="1"/>
  <c r="F17" i="1" s="1"/>
  <c r="F16" i="1" s="1"/>
  <c r="F15" i="1" s="1"/>
  <c r="F14" i="1" s="1"/>
  <c r="F13" i="1" s="1"/>
  <c r="F12" i="1" s="1"/>
  <c r="F11" i="1" s="1"/>
  <c r="F10" i="1" s="1"/>
  <c r="F9" i="1" s="1"/>
  <c r="C12" i="2" s="1"/>
  <c r="C13" i="2"/>
  <c r="E126" i="1"/>
  <c r="G8" i="2" l="1"/>
  <c r="F8" i="2"/>
  <c r="E125" i="1"/>
  <c r="H8" i="2" l="1"/>
  <c r="G9" i="2"/>
  <c r="H9" i="2" s="1"/>
  <c r="G11" i="2"/>
  <c r="H11" i="2" s="1"/>
  <c r="G12" i="2"/>
  <c r="H12" i="2" s="1"/>
  <c r="G10" i="2"/>
  <c r="H10" i="2" s="1"/>
  <c r="F11" i="2"/>
  <c r="F10" i="2"/>
  <c r="F9" i="2"/>
  <c r="F12" i="2"/>
  <c r="E124" i="1"/>
  <c r="E123" i="1" l="1"/>
  <c r="E122" i="1" l="1"/>
  <c r="E121" i="1" l="1"/>
  <c r="E120" i="1" l="1"/>
  <c r="E119" i="1" l="1"/>
  <c r="H119" i="1" s="1"/>
  <c r="I119" i="1" s="1"/>
  <c r="E118" i="1" l="1"/>
  <c r="H118" i="1" s="1"/>
  <c r="I118" i="1" s="1"/>
  <c r="E117" i="1" l="1"/>
  <c r="H117" i="1" s="1"/>
  <c r="I117" i="1" s="1"/>
  <c r="E116" i="1" l="1"/>
  <c r="H116" i="1" s="1"/>
  <c r="I116" i="1" s="1"/>
  <c r="E115" i="1" l="1"/>
  <c r="H115" i="1" s="1"/>
  <c r="I115" i="1" s="1"/>
  <c r="E114" i="1" l="1"/>
  <c r="H114" i="1" s="1"/>
  <c r="I114" i="1" s="1"/>
  <c r="E113" i="1" l="1"/>
  <c r="H113" i="1" s="1"/>
  <c r="I113" i="1" s="1"/>
  <c r="E112" i="1" l="1"/>
  <c r="H112" i="1" s="1"/>
  <c r="I112" i="1" s="1"/>
  <c r="E111" i="1" l="1"/>
  <c r="H111" i="1" s="1"/>
  <c r="I111" i="1" s="1"/>
  <c r="E110" i="1" l="1"/>
  <c r="H110" i="1" s="1"/>
  <c r="I110" i="1" s="1"/>
  <c r="E109" i="1" l="1"/>
  <c r="H109" i="1" l="1"/>
  <c r="I109" i="1" s="1"/>
  <c r="J109" i="1"/>
  <c r="K109" i="1" s="1"/>
  <c r="E108" i="1"/>
  <c r="H108" i="1" l="1"/>
  <c r="I108" i="1" s="1"/>
  <c r="J108" i="1"/>
  <c r="K108" i="1" s="1"/>
  <c r="E107" i="1"/>
  <c r="H107" i="1" l="1"/>
  <c r="I107" i="1" s="1"/>
  <c r="J107" i="1"/>
  <c r="K107" i="1" s="1"/>
  <c r="E106" i="1"/>
  <c r="H106" i="1" l="1"/>
  <c r="I106" i="1" s="1"/>
  <c r="J106" i="1"/>
  <c r="K106" i="1" s="1"/>
  <c r="E105" i="1"/>
  <c r="H105" i="1" l="1"/>
  <c r="I105" i="1" s="1"/>
  <c r="J105" i="1"/>
  <c r="K105" i="1" s="1"/>
  <c r="E104" i="1"/>
  <c r="H104" i="1" l="1"/>
  <c r="I104" i="1" s="1"/>
  <c r="J104" i="1"/>
  <c r="K104" i="1" s="1"/>
  <c r="E103" i="1"/>
  <c r="H103" i="1" l="1"/>
  <c r="I103" i="1" s="1"/>
  <c r="J103" i="1"/>
  <c r="K103" i="1" s="1"/>
  <c r="E102" i="1"/>
  <c r="H102" i="1" l="1"/>
  <c r="I102" i="1" s="1"/>
  <c r="J102" i="1"/>
  <c r="K102" i="1" s="1"/>
  <c r="E101" i="1"/>
  <c r="H101" i="1" l="1"/>
  <c r="I101" i="1" s="1"/>
  <c r="J101" i="1"/>
  <c r="K101" i="1" s="1"/>
  <c r="E100" i="1"/>
  <c r="H100" i="1" l="1"/>
  <c r="I100" i="1" s="1"/>
  <c r="J100" i="1"/>
  <c r="K100" i="1" s="1"/>
  <c r="E99" i="1"/>
  <c r="H99" i="1" l="1"/>
  <c r="I99" i="1" s="1"/>
  <c r="J99" i="1"/>
  <c r="K99" i="1" s="1"/>
  <c r="E98" i="1"/>
  <c r="H98" i="1" l="1"/>
  <c r="I98" i="1" s="1"/>
  <c r="J98" i="1"/>
  <c r="K98" i="1" s="1"/>
  <c r="E97" i="1"/>
  <c r="H97" i="1" l="1"/>
  <c r="I97" i="1" s="1"/>
  <c r="J97" i="1"/>
  <c r="K97" i="1" s="1"/>
  <c r="E96" i="1"/>
  <c r="H96" i="1" l="1"/>
  <c r="I96" i="1" s="1"/>
  <c r="J96" i="1"/>
  <c r="K96" i="1" s="1"/>
  <c r="E95" i="1"/>
  <c r="H95" i="1" l="1"/>
  <c r="I95" i="1" s="1"/>
  <c r="J95" i="1"/>
  <c r="K95" i="1" s="1"/>
  <c r="E94" i="1"/>
  <c r="H94" i="1" l="1"/>
  <c r="I94" i="1" s="1"/>
  <c r="J94" i="1"/>
  <c r="K94" i="1" s="1"/>
  <c r="E93" i="1"/>
  <c r="H93" i="1" l="1"/>
  <c r="I93" i="1" s="1"/>
  <c r="J93" i="1"/>
  <c r="K93" i="1" s="1"/>
  <c r="E92" i="1"/>
  <c r="H92" i="1" l="1"/>
  <c r="I92" i="1" s="1"/>
  <c r="J92" i="1"/>
  <c r="K92" i="1" s="1"/>
  <c r="E91" i="1"/>
  <c r="H91" i="1" l="1"/>
  <c r="I91" i="1" s="1"/>
  <c r="J91" i="1"/>
  <c r="K91" i="1" s="1"/>
  <c r="E90" i="1"/>
  <c r="H90" i="1" l="1"/>
  <c r="I90" i="1" s="1"/>
  <c r="J90" i="1"/>
  <c r="K90" i="1" s="1"/>
  <c r="E89" i="1"/>
  <c r="H89" i="1" l="1"/>
  <c r="I89" i="1" s="1"/>
  <c r="J89" i="1"/>
  <c r="K89" i="1" s="1"/>
  <c r="E88" i="1"/>
  <c r="H88" i="1" l="1"/>
  <c r="I88" i="1" s="1"/>
  <c r="J88" i="1"/>
  <c r="K88" i="1" s="1"/>
  <c r="E87" i="1"/>
  <c r="H87" i="1" l="1"/>
  <c r="I87" i="1" s="1"/>
  <c r="J87" i="1"/>
  <c r="K87" i="1" s="1"/>
  <c r="E86" i="1"/>
  <c r="H86" i="1" l="1"/>
  <c r="I86" i="1" s="1"/>
  <c r="J86" i="1"/>
  <c r="K86" i="1" s="1"/>
  <c r="E85" i="1"/>
  <c r="H85" i="1" l="1"/>
  <c r="I85" i="1" s="1"/>
  <c r="J85" i="1"/>
  <c r="K85" i="1" s="1"/>
  <c r="E84" i="1"/>
  <c r="H84" i="1" l="1"/>
  <c r="I84" i="1" s="1"/>
  <c r="J84" i="1"/>
  <c r="K84" i="1" s="1"/>
  <c r="E83" i="1"/>
  <c r="H83" i="1" l="1"/>
  <c r="I83" i="1" s="1"/>
  <c r="J83" i="1"/>
  <c r="K83" i="1" s="1"/>
  <c r="E82" i="1"/>
  <c r="H82" i="1" l="1"/>
  <c r="I82" i="1" s="1"/>
  <c r="J82" i="1"/>
  <c r="K82" i="1" s="1"/>
  <c r="E81" i="1"/>
  <c r="H81" i="1" l="1"/>
  <c r="I81" i="1" s="1"/>
  <c r="J81" i="1"/>
  <c r="K81" i="1" s="1"/>
  <c r="E80" i="1"/>
  <c r="H80" i="1" l="1"/>
  <c r="I80" i="1" s="1"/>
  <c r="J80" i="1"/>
  <c r="K80" i="1" s="1"/>
  <c r="E79" i="1"/>
  <c r="H79" i="1" l="1"/>
  <c r="I79" i="1" s="1"/>
  <c r="J79" i="1"/>
  <c r="K79" i="1" s="1"/>
  <c r="E78" i="1"/>
  <c r="H78" i="1" l="1"/>
  <c r="I78" i="1" s="1"/>
  <c r="J78" i="1"/>
  <c r="K78" i="1" s="1"/>
  <c r="E77" i="1"/>
  <c r="H77" i="1" l="1"/>
  <c r="I77" i="1" s="1"/>
  <c r="J77" i="1"/>
  <c r="K77" i="1" s="1"/>
  <c r="E76" i="1"/>
  <c r="H76" i="1" l="1"/>
  <c r="I76" i="1" s="1"/>
  <c r="J76" i="1"/>
  <c r="K76" i="1" s="1"/>
  <c r="E75" i="1"/>
  <c r="H75" i="1" l="1"/>
  <c r="I75" i="1" s="1"/>
  <c r="J75" i="1"/>
  <c r="K75" i="1" s="1"/>
  <c r="E74" i="1"/>
  <c r="H74" i="1" l="1"/>
  <c r="I74" i="1" s="1"/>
  <c r="J74" i="1"/>
  <c r="K74" i="1" s="1"/>
  <c r="E73" i="1"/>
  <c r="H73" i="1" l="1"/>
  <c r="I73" i="1" s="1"/>
  <c r="J73" i="1"/>
  <c r="K73" i="1" s="1"/>
  <c r="E72" i="1"/>
  <c r="H72" i="1" l="1"/>
  <c r="I72" i="1" s="1"/>
  <c r="J72" i="1"/>
  <c r="K72" i="1" s="1"/>
  <c r="E71" i="1"/>
  <c r="H71" i="1" l="1"/>
  <c r="I71" i="1" s="1"/>
  <c r="J71" i="1"/>
  <c r="K71" i="1" s="1"/>
  <c r="E70" i="1"/>
  <c r="H70" i="1" l="1"/>
  <c r="I70" i="1" s="1"/>
  <c r="J70" i="1"/>
  <c r="K70" i="1" s="1"/>
  <c r="E69" i="1"/>
  <c r="H69" i="1" l="1"/>
  <c r="I69" i="1" s="1"/>
  <c r="J69" i="1"/>
  <c r="K69" i="1" s="1"/>
  <c r="E68" i="1"/>
  <c r="H68" i="1" l="1"/>
  <c r="I68" i="1" s="1"/>
  <c r="J68" i="1"/>
  <c r="K68" i="1" s="1"/>
  <c r="E67" i="1"/>
  <c r="H67" i="1" l="1"/>
  <c r="I67" i="1" s="1"/>
  <c r="J67" i="1"/>
  <c r="K67" i="1" s="1"/>
  <c r="E66" i="1"/>
  <c r="H66" i="1" l="1"/>
  <c r="I66" i="1" s="1"/>
  <c r="J66" i="1"/>
  <c r="K66" i="1" s="1"/>
  <c r="E65" i="1"/>
  <c r="H65" i="1" l="1"/>
  <c r="I65" i="1" s="1"/>
  <c r="J65" i="1"/>
  <c r="K65" i="1" s="1"/>
  <c r="E64" i="1"/>
  <c r="H64" i="1" l="1"/>
  <c r="I64" i="1" s="1"/>
  <c r="J64" i="1"/>
  <c r="K64" i="1" s="1"/>
  <c r="E63" i="1"/>
  <c r="H63" i="1" l="1"/>
  <c r="I63" i="1" s="1"/>
  <c r="J63" i="1"/>
  <c r="K63" i="1" s="1"/>
  <c r="E62" i="1"/>
  <c r="H62" i="1" l="1"/>
  <c r="I62" i="1" s="1"/>
  <c r="J62" i="1"/>
  <c r="K62" i="1" s="1"/>
  <c r="E61" i="1"/>
  <c r="H61" i="1" l="1"/>
  <c r="I61" i="1" s="1"/>
  <c r="J61" i="1"/>
  <c r="K61" i="1" s="1"/>
  <c r="E60" i="1"/>
  <c r="H60" i="1" l="1"/>
  <c r="I60" i="1" s="1"/>
  <c r="J60" i="1"/>
  <c r="K60" i="1" s="1"/>
  <c r="E59" i="1"/>
  <c r="H59" i="1" l="1"/>
  <c r="I59" i="1" s="1"/>
  <c r="J59" i="1"/>
  <c r="K59" i="1" s="1"/>
  <c r="E58" i="1"/>
  <c r="H58" i="1" l="1"/>
  <c r="I58" i="1" s="1"/>
  <c r="J58" i="1"/>
  <c r="K58" i="1" s="1"/>
  <c r="E57" i="1"/>
  <c r="H57" i="1" l="1"/>
  <c r="I57" i="1" s="1"/>
  <c r="J57" i="1"/>
  <c r="K57" i="1" s="1"/>
  <c r="E56" i="1"/>
  <c r="H56" i="1" l="1"/>
  <c r="I56" i="1" s="1"/>
  <c r="J56" i="1"/>
  <c r="K56" i="1" s="1"/>
  <c r="E55" i="1"/>
  <c r="H55" i="1" l="1"/>
  <c r="I55" i="1" s="1"/>
  <c r="J55" i="1"/>
  <c r="K55" i="1" s="1"/>
  <c r="E54" i="1"/>
  <c r="H54" i="1" l="1"/>
  <c r="I54" i="1" s="1"/>
  <c r="J54" i="1"/>
  <c r="K54" i="1" s="1"/>
  <c r="E53" i="1"/>
  <c r="H53" i="1" l="1"/>
  <c r="I53" i="1" s="1"/>
  <c r="J53" i="1"/>
  <c r="K53" i="1" s="1"/>
  <c r="E52" i="1"/>
  <c r="H52" i="1" l="1"/>
  <c r="I52" i="1" s="1"/>
  <c r="J52" i="1"/>
  <c r="K52" i="1" s="1"/>
  <c r="E51" i="1"/>
  <c r="H51" i="1" l="1"/>
  <c r="I51" i="1" s="1"/>
  <c r="J51" i="1"/>
  <c r="K51" i="1" s="1"/>
  <c r="E50" i="1"/>
  <c r="H50" i="1" l="1"/>
  <c r="I50" i="1" s="1"/>
  <c r="J50" i="1"/>
  <c r="K50" i="1" s="1"/>
  <c r="E49" i="1"/>
  <c r="H49" i="1" l="1"/>
  <c r="I49" i="1" s="1"/>
  <c r="J49" i="1"/>
  <c r="K49" i="1" s="1"/>
  <c r="E48" i="1"/>
  <c r="H48" i="1" l="1"/>
  <c r="I48" i="1" s="1"/>
  <c r="J48" i="1"/>
  <c r="K48" i="1" s="1"/>
  <c r="E47" i="1"/>
  <c r="H47" i="1" l="1"/>
  <c r="I47" i="1" s="1"/>
  <c r="J47" i="1"/>
  <c r="K47" i="1" s="1"/>
  <c r="E46" i="1"/>
  <c r="H46" i="1" l="1"/>
  <c r="I46" i="1" s="1"/>
  <c r="J46" i="1"/>
  <c r="K46" i="1" s="1"/>
  <c r="E45" i="1"/>
  <c r="H45" i="1" l="1"/>
  <c r="I45" i="1" s="1"/>
  <c r="J45" i="1"/>
  <c r="K45" i="1" s="1"/>
  <c r="E44" i="1"/>
  <c r="H44" i="1" l="1"/>
  <c r="I44" i="1" s="1"/>
  <c r="J44" i="1"/>
  <c r="K44" i="1" s="1"/>
  <c r="E43" i="1"/>
  <c r="H43" i="1" l="1"/>
  <c r="I43" i="1" s="1"/>
  <c r="J43" i="1"/>
  <c r="K43" i="1" s="1"/>
  <c r="E42" i="1"/>
  <c r="H42" i="1" l="1"/>
  <c r="I42" i="1" s="1"/>
  <c r="J42" i="1"/>
  <c r="K42" i="1" s="1"/>
  <c r="E41" i="1"/>
  <c r="H41" i="1" l="1"/>
  <c r="I41" i="1" s="1"/>
  <c r="J41" i="1"/>
  <c r="K41" i="1" s="1"/>
  <c r="E40" i="1"/>
  <c r="H40" i="1" l="1"/>
  <c r="I40" i="1" s="1"/>
  <c r="J40" i="1"/>
  <c r="K40" i="1" s="1"/>
  <c r="E39" i="1"/>
  <c r="H39" i="1" l="1"/>
  <c r="I39" i="1" s="1"/>
  <c r="J39" i="1"/>
  <c r="K39" i="1" s="1"/>
  <c r="E38" i="1"/>
  <c r="H38" i="1" l="1"/>
  <c r="I38" i="1" s="1"/>
  <c r="J38" i="1"/>
  <c r="K38" i="1" s="1"/>
  <c r="E37" i="1"/>
  <c r="H37" i="1" l="1"/>
  <c r="I37" i="1" s="1"/>
  <c r="J37" i="1"/>
  <c r="K37" i="1" s="1"/>
  <c r="E36" i="1"/>
  <c r="H36" i="1" l="1"/>
  <c r="I36" i="1" s="1"/>
  <c r="J36" i="1"/>
  <c r="K36" i="1" s="1"/>
  <c r="E35" i="1"/>
  <c r="H35" i="1" l="1"/>
  <c r="I35" i="1" s="1"/>
  <c r="J35" i="1"/>
  <c r="K35" i="1" s="1"/>
  <c r="E34" i="1"/>
  <c r="H34" i="1" l="1"/>
  <c r="I34" i="1" s="1"/>
  <c r="J34" i="1"/>
  <c r="K34" i="1" s="1"/>
  <c r="E33" i="1"/>
  <c r="H33" i="1" l="1"/>
  <c r="I33" i="1" s="1"/>
  <c r="J33" i="1"/>
  <c r="K33" i="1" s="1"/>
  <c r="E32" i="1"/>
  <c r="H32" i="1" l="1"/>
  <c r="I32" i="1" s="1"/>
  <c r="J32" i="1"/>
  <c r="K32" i="1" s="1"/>
  <c r="E31" i="1"/>
  <c r="H31" i="1" l="1"/>
  <c r="I31" i="1" s="1"/>
  <c r="J31" i="1"/>
  <c r="K31" i="1" s="1"/>
  <c r="E30" i="1"/>
  <c r="H30" i="1" l="1"/>
  <c r="I30" i="1" s="1"/>
  <c r="J30" i="1"/>
  <c r="K30" i="1" s="1"/>
  <c r="E29" i="1"/>
  <c r="H29" i="1" l="1"/>
  <c r="I29" i="1" s="1"/>
  <c r="J29" i="1"/>
  <c r="K29" i="1" s="1"/>
  <c r="E28" i="1"/>
  <c r="H28" i="1" l="1"/>
  <c r="I28" i="1" s="1"/>
  <c r="J28" i="1"/>
  <c r="K28" i="1" s="1"/>
  <c r="E27" i="1"/>
  <c r="H27" i="1" l="1"/>
  <c r="I27" i="1" s="1"/>
  <c r="J27" i="1"/>
  <c r="K27" i="1" s="1"/>
  <c r="E26" i="1"/>
  <c r="H26" i="1" l="1"/>
  <c r="I26" i="1" s="1"/>
  <c r="J26" i="1"/>
  <c r="K26" i="1" s="1"/>
  <c r="C11" i="2"/>
  <c r="E25" i="1"/>
  <c r="H25" i="1" l="1"/>
  <c r="I25" i="1" s="1"/>
  <c r="J25" i="1"/>
  <c r="K25" i="1" s="1"/>
  <c r="E24" i="1"/>
  <c r="H24" i="1" l="1"/>
  <c r="I24" i="1" s="1"/>
  <c r="J24" i="1"/>
  <c r="K24" i="1" s="1"/>
  <c r="E23" i="1"/>
  <c r="H23" i="1" l="1"/>
  <c r="I23" i="1" s="1"/>
  <c r="J23" i="1"/>
  <c r="K23" i="1" s="1"/>
  <c r="E22" i="1"/>
  <c r="H22" i="1" l="1"/>
  <c r="I22" i="1" s="1"/>
  <c r="J22" i="1"/>
  <c r="K22" i="1" s="1"/>
  <c r="E21" i="1"/>
  <c r="H21" i="1" l="1"/>
  <c r="I21" i="1" s="1"/>
  <c r="J21" i="1"/>
  <c r="K21" i="1" s="1"/>
  <c r="E20" i="1"/>
  <c r="H20" i="1" l="1"/>
  <c r="I20" i="1" s="1"/>
  <c r="J20" i="1"/>
  <c r="K20" i="1" s="1"/>
  <c r="E19" i="1"/>
  <c r="H19" i="1" l="1"/>
  <c r="I19" i="1" s="1"/>
  <c r="J19" i="1"/>
  <c r="K19" i="1" s="1"/>
  <c r="E18" i="1"/>
  <c r="H18" i="1" l="1"/>
  <c r="I18" i="1" s="1"/>
  <c r="J18" i="1"/>
  <c r="K18" i="1" s="1"/>
  <c r="E17" i="1"/>
  <c r="H17" i="1" l="1"/>
  <c r="I17" i="1" s="1"/>
  <c r="J17" i="1"/>
  <c r="K17" i="1" s="1"/>
  <c r="E16" i="1"/>
  <c r="H16" i="1" l="1"/>
  <c r="I16" i="1" s="1"/>
  <c r="J16" i="1"/>
  <c r="K16" i="1" s="1"/>
  <c r="E15" i="1"/>
  <c r="H15" i="1" l="1"/>
  <c r="I15" i="1" s="1"/>
  <c r="J15" i="1"/>
  <c r="K15" i="1" s="1"/>
  <c r="E14" i="1"/>
  <c r="H14" i="1" l="1"/>
  <c r="I14" i="1" s="1"/>
  <c r="J14" i="1"/>
  <c r="K14" i="1" s="1"/>
  <c r="E13" i="1"/>
  <c r="H13" i="1" l="1"/>
  <c r="I13" i="1" s="1"/>
  <c r="J13" i="1"/>
  <c r="K13" i="1" s="1"/>
  <c r="E12" i="1"/>
  <c r="H12" i="1" l="1"/>
  <c r="I12" i="1" s="1"/>
  <c r="J12" i="1"/>
  <c r="K12" i="1" s="1"/>
  <c r="E11" i="1"/>
  <c r="H11" i="1" l="1"/>
  <c r="I11" i="1" s="1"/>
  <c r="J11" i="1"/>
  <c r="K11" i="1" s="1"/>
  <c r="E10" i="1"/>
  <c r="H10" i="1" l="1"/>
  <c r="I10" i="1" s="1"/>
  <c r="J10" i="1"/>
  <c r="K10" i="1" s="1"/>
  <c r="E9" i="1"/>
  <c r="H9" i="1" l="1"/>
  <c r="I9" i="1" s="1"/>
  <c r="J9" i="1"/>
  <c r="K9" i="1" s="1"/>
  <c r="C10" i="2"/>
  <c r="G17" i="2" l="1"/>
  <c r="F17" i="2"/>
  <c r="G19" i="2" l="1"/>
  <c r="G20" i="2"/>
  <c r="G21" i="2"/>
  <c r="G18" i="2"/>
  <c r="F20" i="2"/>
  <c r="F21" i="2"/>
  <c r="F19" i="2"/>
  <c r="F18" i="2"/>
</calcChain>
</file>

<file path=xl/sharedStrings.xml><?xml version="1.0" encoding="utf-8"?>
<sst xmlns="http://schemas.openxmlformats.org/spreadsheetml/2006/main" count="56" uniqueCount="49">
  <si>
    <t>STANDARD ULTIMATE LIFE TABLE</t>
  </si>
  <si>
    <t>i</t>
  </si>
  <si>
    <t>A</t>
  </si>
  <si>
    <t>B</t>
  </si>
  <si>
    <t>c</t>
  </si>
  <si>
    <t>x</t>
  </si>
  <si>
    <t xml:space="preserve">x </t>
  </si>
  <si>
    <t>n</t>
  </si>
  <si>
    <t>INSURANCE</t>
  </si>
  <si>
    <t>Discrete</t>
  </si>
  <si>
    <t>Term</t>
  </si>
  <si>
    <t>Endowment</t>
  </si>
  <si>
    <t>m-thly (UDD)</t>
  </si>
  <si>
    <t>Continuous (UDD)</t>
  </si>
  <si>
    <t>m-thly (Claims acceleration)</t>
  </si>
  <si>
    <t>Continuous (Claims acceleration)</t>
  </si>
  <si>
    <t>m</t>
  </si>
  <si>
    <t>i(m)</t>
  </si>
  <si>
    <t>ANNUITY</t>
  </si>
  <si>
    <t>Whole life</t>
  </si>
  <si>
    <t>m-thly (2-term Woolhouse)</t>
  </si>
  <si>
    <t>Continuous (2-term Woolhouse)</t>
  </si>
  <si>
    <t>d(m)</t>
  </si>
  <si>
    <t>α(m)</t>
  </si>
  <si>
    <t>β(m)</t>
  </si>
  <si>
    <t>d</t>
  </si>
  <si>
    <t>δ</t>
  </si>
  <si>
    <r>
      <t>l</t>
    </r>
    <r>
      <rPr>
        <b/>
        <vertAlign val="subscript"/>
        <sz val="16"/>
        <color theme="0"/>
        <rFont val="Calibri"/>
        <family val="2"/>
        <scheme val="minor"/>
      </rPr>
      <t>x</t>
    </r>
  </si>
  <si>
    <r>
      <t>q</t>
    </r>
    <r>
      <rPr>
        <b/>
        <vertAlign val="subscript"/>
        <sz val="16"/>
        <color theme="0"/>
        <rFont val="Calibri"/>
        <family val="2"/>
        <scheme val="minor"/>
      </rPr>
      <t>x</t>
    </r>
  </si>
  <si>
    <r>
      <t>ä</t>
    </r>
    <r>
      <rPr>
        <b/>
        <vertAlign val="subscript"/>
        <sz val="16"/>
        <color theme="0"/>
        <rFont val="Calibri"/>
        <family val="2"/>
        <scheme val="minor"/>
      </rPr>
      <t>x</t>
    </r>
  </si>
  <si>
    <r>
      <t>A</t>
    </r>
    <r>
      <rPr>
        <b/>
        <vertAlign val="subscript"/>
        <sz val="16"/>
        <color theme="0"/>
        <rFont val="Calibri"/>
        <family val="2"/>
        <scheme val="minor"/>
      </rPr>
      <t>x</t>
    </r>
  </si>
  <si>
    <r>
      <rPr>
        <b/>
        <vertAlign val="superscript"/>
        <sz val="16"/>
        <color theme="0"/>
        <rFont val="Calibri"/>
        <family val="2"/>
        <scheme val="minor"/>
      </rPr>
      <t>2</t>
    </r>
    <r>
      <rPr>
        <b/>
        <sz val="16"/>
        <color theme="0"/>
        <rFont val="Calibri"/>
        <family val="2"/>
        <scheme val="minor"/>
      </rPr>
      <t>A</t>
    </r>
    <r>
      <rPr>
        <b/>
        <vertAlign val="subscript"/>
        <sz val="16"/>
        <color theme="0"/>
        <rFont val="Calibri"/>
        <family val="2"/>
        <scheme val="minor"/>
      </rPr>
      <t>x</t>
    </r>
  </si>
  <si>
    <r>
      <t>ä</t>
    </r>
    <r>
      <rPr>
        <b/>
        <vertAlign val="subscript"/>
        <sz val="16"/>
        <color theme="0"/>
        <rFont val="Calibri"/>
        <family val="2"/>
        <scheme val="minor"/>
      </rPr>
      <t>x:10</t>
    </r>
  </si>
  <si>
    <r>
      <t>A</t>
    </r>
    <r>
      <rPr>
        <b/>
        <vertAlign val="subscript"/>
        <sz val="16"/>
        <color theme="0"/>
        <rFont val="Calibri"/>
        <family val="2"/>
        <scheme val="minor"/>
      </rPr>
      <t>x:10</t>
    </r>
  </si>
  <si>
    <r>
      <t>ä</t>
    </r>
    <r>
      <rPr>
        <b/>
        <vertAlign val="subscript"/>
        <sz val="16"/>
        <color theme="0"/>
        <rFont val="Calibri"/>
        <family val="2"/>
        <scheme val="minor"/>
      </rPr>
      <t>x:20</t>
    </r>
  </si>
  <si>
    <r>
      <t>A</t>
    </r>
    <r>
      <rPr>
        <b/>
        <vertAlign val="subscript"/>
        <sz val="16"/>
        <color theme="0"/>
        <rFont val="Calibri"/>
        <family val="2"/>
        <scheme val="minor"/>
      </rPr>
      <t>x:20</t>
    </r>
  </si>
  <si>
    <r>
      <rPr>
        <b/>
        <vertAlign val="subscript"/>
        <sz val="16"/>
        <color theme="0"/>
        <rFont val="Calibri"/>
        <family val="2"/>
        <scheme val="minor"/>
      </rPr>
      <t>5</t>
    </r>
    <r>
      <rPr>
        <b/>
        <sz val="16"/>
        <color theme="0"/>
        <rFont val="Calibri"/>
        <family val="2"/>
        <scheme val="minor"/>
      </rPr>
      <t>E</t>
    </r>
    <r>
      <rPr>
        <b/>
        <vertAlign val="subscript"/>
        <sz val="16"/>
        <color theme="0"/>
        <rFont val="Calibri"/>
        <family val="2"/>
        <scheme val="minor"/>
      </rPr>
      <t>x</t>
    </r>
  </si>
  <si>
    <r>
      <rPr>
        <b/>
        <vertAlign val="subscript"/>
        <sz val="16"/>
        <color theme="0"/>
        <rFont val="Calibri"/>
        <family val="2"/>
        <scheme val="minor"/>
      </rPr>
      <t>10</t>
    </r>
    <r>
      <rPr>
        <b/>
        <sz val="16"/>
        <color theme="0"/>
        <rFont val="Calibri"/>
        <family val="2"/>
        <scheme val="minor"/>
      </rPr>
      <t>E</t>
    </r>
    <r>
      <rPr>
        <b/>
        <vertAlign val="subscript"/>
        <sz val="16"/>
        <color theme="0"/>
        <rFont val="Calibri"/>
        <family val="2"/>
        <scheme val="minor"/>
      </rPr>
      <t>x</t>
    </r>
  </si>
  <si>
    <r>
      <rPr>
        <b/>
        <vertAlign val="subscript"/>
        <sz val="16"/>
        <color theme="0"/>
        <rFont val="Calibri"/>
        <family val="2"/>
        <scheme val="minor"/>
      </rPr>
      <t>20</t>
    </r>
    <r>
      <rPr>
        <b/>
        <sz val="16"/>
        <color theme="0"/>
        <rFont val="Calibri"/>
        <family val="2"/>
        <scheme val="minor"/>
      </rPr>
      <t>E</t>
    </r>
    <r>
      <rPr>
        <b/>
        <vertAlign val="subscript"/>
        <sz val="16"/>
        <color theme="0"/>
        <rFont val="Calibri"/>
        <family val="2"/>
        <scheme val="minor"/>
      </rPr>
      <t>x</t>
    </r>
  </si>
  <si>
    <r>
      <t>l</t>
    </r>
    <r>
      <rPr>
        <vertAlign val="subscript"/>
        <sz val="14"/>
        <color theme="1"/>
        <rFont val="Calibri"/>
        <family val="2"/>
        <scheme val="minor"/>
      </rPr>
      <t>x</t>
    </r>
  </si>
  <si>
    <r>
      <t>l</t>
    </r>
    <r>
      <rPr>
        <vertAlign val="subscript"/>
        <sz val="14"/>
        <color theme="1"/>
        <rFont val="Calibri"/>
        <family val="2"/>
        <scheme val="minor"/>
      </rPr>
      <t>x+n</t>
    </r>
  </si>
  <si>
    <r>
      <rPr>
        <vertAlign val="subscript"/>
        <sz val="14"/>
        <color theme="1"/>
        <rFont val="Calibri"/>
        <family val="2"/>
        <scheme val="minor"/>
      </rPr>
      <t>n</t>
    </r>
    <r>
      <rPr>
        <sz val="14"/>
        <color theme="1"/>
        <rFont val="Calibri"/>
        <family val="2"/>
        <scheme val="minor"/>
      </rPr>
      <t>p</t>
    </r>
    <r>
      <rPr>
        <vertAlign val="subscript"/>
        <sz val="14"/>
        <color theme="1"/>
        <rFont val="Calibri"/>
        <family val="2"/>
        <scheme val="minor"/>
      </rPr>
      <t>x</t>
    </r>
  </si>
  <si>
    <r>
      <rPr>
        <vertAlign val="subscript"/>
        <sz val="14"/>
        <color theme="1"/>
        <rFont val="Calibri"/>
        <family val="2"/>
        <charset val="163"/>
        <scheme val="minor"/>
      </rPr>
      <t>n</t>
    </r>
    <r>
      <rPr>
        <sz val="14"/>
        <color theme="1"/>
        <rFont val="Calibri"/>
        <family val="2"/>
        <scheme val="minor"/>
      </rPr>
      <t>q</t>
    </r>
    <r>
      <rPr>
        <vertAlign val="subscript"/>
        <sz val="14"/>
        <color theme="1"/>
        <rFont val="Calibri"/>
        <family val="2"/>
        <charset val="163"/>
        <scheme val="minor"/>
      </rPr>
      <t>x</t>
    </r>
  </si>
  <si>
    <r>
      <t>A</t>
    </r>
    <r>
      <rPr>
        <vertAlign val="subscript"/>
        <sz val="14"/>
        <color theme="1"/>
        <rFont val="Calibri"/>
        <family val="2"/>
        <charset val="163"/>
        <scheme val="minor"/>
      </rPr>
      <t>x</t>
    </r>
  </si>
  <si>
    <r>
      <t>A</t>
    </r>
    <r>
      <rPr>
        <vertAlign val="subscript"/>
        <sz val="14"/>
        <color theme="1"/>
        <rFont val="Calibri"/>
        <family val="2"/>
        <charset val="163"/>
        <scheme val="minor"/>
      </rPr>
      <t>x+n</t>
    </r>
  </si>
  <si>
    <r>
      <rPr>
        <vertAlign val="subscript"/>
        <sz val="14"/>
        <color theme="1"/>
        <rFont val="Calibri"/>
        <family val="2"/>
        <charset val="163"/>
        <scheme val="minor"/>
      </rPr>
      <t>n</t>
    </r>
    <r>
      <rPr>
        <sz val="14"/>
        <color theme="1"/>
        <rFont val="Calibri"/>
        <family val="2"/>
        <scheme val="minor"/>
      </rPr>
      <t>E</t>
    </r>
    <r>
      <rPr>
        <vertAlign val="subscript"/>
        <sz val="14"/>
        <color theme="1"/>
        <rFont val="Calibri"/>
        <family val="2"/>
        <charset val="163"/>
        <scheme val="minor"/>
      </rPr>
      <t>x</t>
    </r>
  </si>
  <si>
    <r>
      <t>ä</t>
    </r>
    <r>
      <rPr>
        <vertAlign val="subscript"/>
        <sz val="14"/>
        <color theme="1"/>
        <rFont val="Calibri"/>
        <family val="2"/>
        <charset val="163"/>
        <scheme val="minor"/>
      </rPr>
      <t>x</t>
    </r>
  </si>
  <si>
    <r>
      <t>ä</t>
    </r>
    <r>
      <rPr>
        <vertAlign val="subscript"/>
        <sz val="14"/>
        <color theme="1"/>
        <rFont val="Calibri"/>
        <family val="2"/>
        <charset val="163"/>
        <scheme val="minor"/>
      </rPr>
      <t>x+n</t>
    </r>
  </si>
  <si>
    <r>
      <t xml:space="preserve">Mortality follows Makeham's law: </t>
    </r>
    <r>
      <rPr>
        <i/>
        <sz val="14"/>
        <color theme="1"/>
        <rFont val="Aptos Narrow"/>
        <family val="2"/>
      </rPr>
      <t>μ</t>
    </r>
    <r>
      <rPr>
        <i/>
        <vertAlign val="subscript"/>
        <sz val="14"/>
        <color theme="1"/>
        <rFont val="Aptos Narrow"/>
        <family val="2"/>
      </rPr>
      <t>x</t>
    </r>
    <r>
      <rPr>
        <i/>
        <sz val="14"/>
        <color theme="1"/>
        <rFont val="Aptos Narrow"/>
        <family val="2"/>
      </rPr>
      <t xml:space="preserve"> = A + Bc</t>
    </r>
    <r>
      <rPr>
        <i/>
        <vertAlign val="superscript"/>
        <sz val="14"/>
        <color theme="1"/>
        <rFont val="Aptos Narrow"/>
        <family val="2"/>
      </rPr>
      <t>x</t>
    </r>
    <r>
      <rPr>
        <i/>
        <sz val="14"/>
        <color theme="1"/>
        <rFont val="Aptos Narrow"/>
        <family val="2"/>
      </rPr>
      <t>.
The default parameters are: A = 0.00022, B = 0.0000027 and c = 1.124.</t>
    </r>
    <r>
      <rPr>
        <i/>
        <sz val="14"/>
        <color theme="1"/>
        <rFont val="Calibri"/>
        <family val="2"/>
        <charset val="163"/>
        <scheme val="minor"/>
      </rPr>
      <t xml:space="preserve">
The default interest rate is i = 5%.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</si>
</sst>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00000"/>
    <numFmt numFmtId="166" formatCode="0.0000"/>
    <numFmt numFmtId="167" formatCode="0.00000"/>
  </numFmts>
  <fonts count="18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163"/>
      <scheme val="minor"/>
    </font>
    <font>
      <sz val="11"/>
      <color rgb="FF9C5700"/>
      <name val="Calibri"/>
      <family val="2"/>
      <charset val="163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vertAlign val="subscript"/>
      <sz val="16"/>
      <color theme="0"/>
      <name val="Calibri"/>
      <family val="2"/>
      <scheme val="minor"/>
    </font>
    <font>
      <b/>
      <vertAlign val="superscript"/>
      <sz val="16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4"/>
      <color theme="1"/>
      <name val="Calibri"/>
      <family val="2"/>
      <charset val="163"/>
      <scheme val="minor"/>
    </font>
    <font>
      <b/>
      <sz val="14"/>
      <color theme="1"/>
      <name val="Calibri"/>
      <family val="2"/>
      <charset val="163"/>
      <scheme val="minor"/>
    </font>
    <font>
      <b/>
      <sz val="24"/>
      <color theme="1"/>
      <name val="Calibri"/>
      <family val="2"/>
      <charset val="163"/>
      <scheme val="minor"/>
    </font>
    <font>
      <sz val="14"/>
      <color theme="1"/>
      <name val="Calibri"/>
      <family val="2"/>
      <charset val="163"/>
      <scheme val="minor"/>
    </font>
    <font>
      <i/>
      <sz val="14"/>
      <color theme="1"/>
      <name val="Aptos Narrow"/>
      <family val="2"/>
    </font>
    <font>
      <i/>
      <vertAlign val="subscript"/>
      <sz val="14"/>
      <color theme="1"/>
      <name val="Aptos Narrow"/>
      <family val="2"/>
    </font>
    <font>
      <i/>
      <vertAlign val="superscript"/>
      <sz val="14"/>
      <color theme="1"/>
      <name val="Aptos Narrow"/>
      <family val="2"/>
    </font>
    <font>
      <sz val="14"/>
      <color rgb="FF9C5700"/>
      <name val="Calibri"/>
      <family val="2"/>
      <charset val="163"/>
      <scheme val="minor"/>
    </font>
    <font>
      <vertAlign val="subscript"/>
      <sz val="14"/>
      <color theme="1"/>
      <name val="Calibri"/>
      <family val="2"/>
      <scheme val="minor"/>
    </font>
    <font>
      <vertAlign val="subscript"/>
      <sz val="14"/>
      <color theme="1"/>
      <name val="Calibri"/>
      <family val="2"/>
      <charset val="163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4" borderId="0" applyNumberFormat="0" applyBorder="0" applyAlignment="0" applyProtection="0"/>
    <xf numFmtId="0" fontId="2" fillId="5" borderId="0" applyNumberFormat="0" applyBorder="0" applyAlignment="0" applyProtection="0"/>
  </cellStyleXfs>
  <cellXfs count="55">
    <xf numFmtId="0" fontId="0" fillId="0" borderId="0" xfId="0"/>
    <xf numFmtId="9" fontId="0" fillId="0" borderId="0" xfId="0" applyNumberFormat="1"/>
    <xf numFmtId="0" fontId="0" fillId="3" borderId="4" xfId="0" applyFont="1" applyFill="1" applyBorder="1"/>
    <xf numFmtId="164" fontId="0" fillId="3" borderId="5" xfId="0" applyNumberFormat="1" applyFont="1" applyFill="1" applyBorder="1"/>
    <xf numFmtId="165" fontId="0" fillId="3" borderId="5" xfId="0" applyNumberFormat="1" applyFont="1" applyFill="1" applyBorder="1"/>
    <xf numFmtId="166" fontId="0" fillId="3" borderId="5" xfId="0" applyNumberFormat="1" applyFont="1" applyFill="1" applyBorder="1"/>
    <xf numFmtId="167" fontId="0" fillId="3" borderId="5" xfId="0" applyNumberFormat="1" applyFont="1" applyFill="1" applyBorder="1"/>
    <xf numFmtId="0" fontId="0" fillId="3" borderId="6" xfId="0" applyFont="1" applyFill="1" applyBorder="1"/>
    <xf numFmtId="0" fontId="0" fillId="0" borderId="4" xfId="0" applyFont="1" applyBorder="1"/>
    <xf numFmtId="164" fontId="0" fillId="0" borderId="5" xfId="0" applyNumberFormat="1" applyFont="1" applyBorder="1"/>
    <xf numFmtId="165" fontId="0" fillId="0" borderId="5" xfId="0" applyNumberFormat="1" applyFont="1" applyBorder="1"/>
    <xf numFmtId="166" fontId="0" fillId="0" borderId="5" xfId="0" applyNumberFormat="1" applyFont="1" applyBorder="1"/>
    <xf numFmtId="167" fontId="0" fillId="0" borderId="5" xfId="0" applyNumberFormat="1" applyFont="1" applyBorder="1"/>
    <xf numFmtId="0" fontId="0" fillId="3" borderId="1" xfId="0" applyFont="1" applyFill="1" applyBorder="1"/>
    <xf numFmtId="164" fontId="0" fillId="3" borderId="2" xfId="0" applyNumberFormat="1" applyFont="1" applyFill="1" applyBorder="1"/>
    <xf numFmtId="166" fontId="0" fillId="3" borderId="2" xfId="0" applyNumberFormat="1" applyFont="1" applyFill="1" applyBorder="1"/>
    <xf numFmtId="167" fontId="0" fillId="3" borderId="2" xfId="0" applyNumberFormat="1" applyFont="1" applyFill="1" applyBorder="1"/>
    <xf numFmtId="0" fontId="0" fillId="3" borderId="2" xfId="0" applyFont="1" applyFill="1" applyBorder="1"/>
    <xf numFmtId="0" fontId="0" fillId="3" borderId="3" xfId="0" applyFont="1" applyFill="1" applyBorder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0" fillId="3" borderId="5" xfId="0" applyFont="1" applyFill="1" applyBorder="1"/>
    <xf numFmtId="0" fontId="0" fillId="0" borderId="5" xfId="0" applyFont="1" applyBorder="1"/>
    <xf numFmtId="0" fontId="0" fillId="0" borderId="6" xfId="0" applyFont="1" applyBorder="1"/>
    <xf numFmtId="0" fontId="1" fillId="4" borderId="7" xfId="1" applyBorder="1"/>
    <xf numFmtId="9" fontId="1" fillId="4" borderId="7" xfId="1" applyNumberFormat="1" applyBorder="1"/>
    <xf numFmtId="0" fontId="10" fillId="6" borderId="7" xfId="0" applyFont="1" applyFill="1" applyBorder="1" applyAlignment="1">
      <alignment horizontal="center"/>
    </xf>
    <xf numFmtId="0" fontId="8" fillId="6" borderId="7" xfId="0" applyFont="1" applyFill="1" applyBorder="1" applyAlignment="1">
      <alignment horizontal="center" wrapText="1"/>
    </xf>
    <xf numFmtId="0" fontId="9" fillId="6" borderId="7" xfId="0" applyFont="1" applyFill="1" applyBorder="1" applyAlignment="1">
      <alignment horizontal="center" wrapText="1"/>
    </xf>
    <xf numFmtId="167" fontId="0" fillId="0" borderId="7" xfId="0" applyNumberFormat="1" applyFont="1" applyBorder="1"/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164" fontId="0" fillId="3" borderId="10" xfId="0" applyNumberFormat="1" applyFont="1" applyFill="1" applyBorder="1"/>
    <xf numFmtId="164" fontId="0" fillId="0" borderId="10" xfId="0" applyNumberFormat="1" applyFont="1" applyBorder="1"/>
    <xf numFmtId="165" fontId="0" fillId="3" borderId="10" xfId="0" applyNumberFormat="1" applyFont="1" applyFill="1" applyBorder="1"/>
    <xf numFmtId="165" fontId="0" fillId="0" borderId="10" xfId="0" applyNumberFormat="1" applyFont="1" applyBorder="1"/>
    <xf numFmtId="166" fontId="0" fillId="3" borderId="10" xfId="0" applyNumberFormat="1" applyFont="1" applyFill="1" applyBorder="1"/>
    <xf numFmtId="166" fontId="0" fillId="0" borderId="10" xfId="0" applyNumberFormat="1" applyFont="1" applyBorder="1"/>
    <xf numFmtId="167" fontId="0" fillId="3" borderId="10" xfId="0" applyNumberFormat="1" applyFont="1" applyFill="1" applyBorder="1"/>
    <xf numFmtId="167" fontId="0" fillId="0" borderId="10" xfId="0" applyNumberFormat="1" applyFont="1" applyBorder="1"/>
    <xf numFmtId="167" fontId="0" fillId="3" borderId="6" xfId="0" applyNumberFormat="1" applyFont="1" applyFill="1" applyBorder="1"/>
    <xf numFmtId="167" fontId="0" fillId="0" borderId="6" xfId="0" applyNumberFormat="1" applyFont="1" applyBorder="1"/>
    <xf numFmtId="167" fontId="0" fillId="3" borderId="3" xfId="0" applyNumberFormat="1" applyFont="1" applyFill="1" applyBorder="1"/>
    <xf numFmtId="166" fontId="0" fillId="3" borderId="6" xfId="0" applyNumberFormat="1" applyFont="1" applyFill="1" applyBorder="1"/>
    <xf numFmtId="166" fontId="0" fillId="0" borderId="6" xfId="0" applyNumberFormat="1" applyFont="1" applyBorder="1"/>
    <xf numFmtId="166" fontId="0" fillId="3" borderId="3" xfId="0" applyNumberFormat="1" applyFont="1" applyFill="1" applyBorder="1"/>
    <xf numFmtId="0" fontId="15" fillId="5" borderId="7" xfId="2" applyFont="1" applyBorder="1"/>
    <xf numFmtId="0" fontId="7" fillId="3" borderId="9" xfId="0" applyFont="1" applyFill="1" applyBorder="1"/>
    <xf numFmtId="0" fontId="7" fillId="0" borderId="9" xfId="0" applyFont="1" applyBorder="1"/>
    <xf numFmtId="0" fontId="7" fillId="0" borderId="8" xfId="0" applyFont="1" applyBorder="1"/>
    <xf numFmtId="0" fontId="9" fillId="0" borderId="0" xfId="0" applyFont="1"/>
    <xf numFmtId="0" fontId="11" fillId="0" borderId="9" xfId="0" applyFont="1" applyBorder="1"/>
    <xf numFmtId="0" fontId="11" fillId="3" borderId="9" xfId="0" applyFont="1" applyFill="1" applyBorder="1"/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129"/>
  <sheetViews>
    <sheetView zoomScaleNormal="100" workbookViewId="0">
      <pane ySplit="8" topLeftCell="A9" activePane="bottomLeft" state="frozen"/>
      <selection pane="bottomLeft" activeCell="J85" sqref="J85"/>
    </sheetView>
  </sheetViews>
  <sheetFormatPr defaultRowHeight="15" x14ac:dyDescent="0.25"/>
  <cols>
    <col min="2" max="2" width="4.5703125" customWidth="1"/>
    <col min="3" max="3" width="10" bestFit="1" customWidth="1"/>
    <col min="4" max="4" width="8.5703125" bestFit="1" customWidth="1"/>
    <col min="5" max="7" width="7.5703125" bestFit="1" customWidth="1"/>
    <col min="8" max="8" width="6.5703125" bestFit="1" customWidth="1"/>
    <col min="9" max="11" width="7.5703125" bestFit="1" customWidth="1"/>
    <col min="12" max="13" width="12" bestFit="1" customWidth="1"/>
    <col min="14" max="14" width="7.5703125" bestFit="1" customWidth="1"/>
    <col min="15" max="15" width="4" bestFit="1" customWidth="1"/>
  </cols>
  <sheetData>
    <row r="1" spans="2:15" ht="31.5" x14ac:dyDescent="0.5">
      <c r="B1" s="27" t="s">
        <v>0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</row>
    <row r="2" spans="2:15" ht="61.5" customHeight="1" x14ac:dyDescent="0.3">
      <c r="B2" s="28" t="s">
        <v>48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</row>
    <row r="3" spans="2:15" x14ac:dyDescent="0.25">
      <c r="G3" s="1"/>
    </row>
    <row r="4" spans="2:15" ht="18.75" x14ac:dyDescent="0.3">
      <c r="B4" s="48" t="s">
        <v>2</v>
      </c>
      <c r="C4" s="25">
        <v>2.2000000000000001E-4</v>
      </c>
      <c r="E4" s="48" t="s">
        <v>1</v>
      </c>
      <c r="F4" s="26">
        <v>0.05</v>
      </c>
    </row>
    <row r="5" spans="2:15" ht="18.75" x14ac:dyDescent="0.3">
      <c r="B5" s="48" t="s">
        <v>3</v>
      </c>
      <c r="C5" s="25">
        <v>2.7E-6</v>
      </c>
    </row>
    <row r="6" spans="2:15" ht="18.75" x14ac:dyDescent="0.3">
      <c r="B6" s="48" t="s">
        <v>4</v>
      </c>
      <c r="C6" s="25">
        <v>1.1240000000000001</v>
      </c>
    </row>
    <row r="8" spans="2:15" ht="24" x14ac:dyDescent="0.25">
      <c r="B8" s="31" t="s">
        <v>5</v>
      </c>
      <c r="C8" s="32" t="s">
        <v>27</v>
      </c>
      <c r="D8" s="32" t="s">
        <v>28</v>
      </c>
      <c r="E8" s="32" t="s">
        <v>29</v>
      </c>
      <c r="F8" s="32" t="s">
        <v>30</v>
      </c>
      <c r="G8" s="32" t="s">
        <v>31</v>
      </c>
      <c r="H8" s="32" t="s">
        <v>32</v>
      </c>
      <c r="I8" s="32" t="s">
        <v>33</v>
      </c>
      <c r="J8" s="32" t="s">
        <v>34</v>
      </c>
      <c r="K8" s="32" t="s">
        <v>35</v>
      </c>
      <c r="L8" s="32" t="s">
        <v>36</v>
      </c>
      <c r="M8" s="32" t="s">
        <v>37</v>
      </c>
      <c r="N8" s="32" t="s">
        <v>38</v>
      </c>
      <c r="O8" s="33" t="s">
        <v>6</v>
      </c>
    </row>
    <row r="9" spans="2:15" x14ac:dyDescent="0.25">
      <c r="B9" s="2">
        <v>20</v>
      </c>
      <c r="C9" s="3">
        <f>100000 * EXP(-Makeham_A*('Life Table'!$B9-$B$9) - Makeham_B/LN(Makeham_c) * (Makeham_c^'Life Table'!$B9 - Makeham_c^$B$9))</f>
        <v>100000</v>
      </c>
      <c r="D9" s="4">
        <f xml:space="preserve"> 1 - C10/'Life Table'!$C9</f>
        <v>2.4963902839847396E-4</v>
      </c>
      <c r="E9" s="5">
        <f>1 + (1-'Life Table'!$D9) * (1+i)^(-1) * E10</f>
        <v>19.966393800426779</v>
      </c>
      <c r="F9" s="6">
        <f>(1+i)^(-1) * 'Life Table'!$D9 + (1+i)^(-1) * (1-'Life Table'!$D9) * F10</f>
        <v>4.9219342836818905E-2</v>
      </c>
      <c r="G9" s="6">
        <f xml:space="preserve"> (1+i)^(-2) * 'Life Table'!$D9 + (1+i)^(-2) * (1-'Life Table'!$D9) * G10</f>
        <v>5.7983846325518574E-3</v>
      </c>
      <c r="H9" s="5">
        <f>E9 - M9*E19</f>
        <v>8.0991436950347939</v>
      </c>
      <c r="I9" s="6">
        <f xml:space="preserve"> 1 - i/(1+i)*H9</f>
        <v>0.6143264907126289</v>
      </c>
      <c r="J9" s="5">
        <f xml:space="preserve"> E9 - N9*E29</f>
        <v>13.05589390123812</v>
      </c>
      <c r="K9" s="6">
        <f xml:space="preserve"> 1 - i/(1+i)*J9</f>
        <v>0.37829076660770866</v>
      </c>
      <c r="L9" s="6">
        <f>(1+i)^(-5) * C14/C9</f>
        <v>0.78251607409283019</v>
      </c>
      <c r="M9" s="6">
        <f xml:space="preserve"> (1+i)^(-10) * C19/C9</f>
        <v>0.61223903542042857</v>
      </c>
      <c r="N9" s="6">
        <f xml:space="preserve"> (1+i)^(-20) * C29/C9</f>
        <v>0.37439544033037842</v>
      </c>
      <c r="O9" s="7">
        <f>B9</f>
        <v>20</v>
      </c>
    </row>
    <row r="10" spans="2:15" x14ac:dyDescent="0.25">
      <c r="B10" s="8">
        <v>21</v>
      </c>
      <c r="C10" s="9">
        <f>100000 * EXP(-Makeham_A*('Life Table'!$B10-$B$9) - Makeham_B/LN(Makeham_c) * (Makeham_c^'Life Table'!$B10 - Makeham_c^$B$9))</f>
        <v>99975.036097160148</v>
      </c>
      <c r="D10" s="10">
        <f xml:space="preserve"> 1 - C11/'Life Table'!$C10</f>
        <v>2.5331720716714745E-4</v>
      </c>
      <c r="E10" s="11">
        <f>1 + (1-'Life Table'!$D10) * (1+i)^(-1) * E11</f>
        <v>19.919686221562472</v>
      </c>
      <c r="F10" s="12">
        <f>(1+i)^(-1) * 'Life Table'!$D10 + (1+i)^(-1) * (1-'Life Table'!$D10) * F11</f>
        <v>5.1443513258928743E-2</v>
      </c>
      <c r="G10" s="12">
        <f xml:space="preserve"> (1+i)^(-2) * 'Life Table'!$D10 + (1+i)^(-2) * (1-'Life Table'!$D10) * G11</f>
        <v>6.1446139644499177E-3</v>
      </c>
      <c r="H10" s="11">
        <f t="shared" ref="H10:H73" si="0">E10 - M10*E20</f>
        <v>8.0989736869002051</v>
      </c>
      <c r="I10" s="12">
        <f xml:space="preserve"> 1 - i/(1+i)*H10</f>
        <v>0.61433458633808546</v>
      </c>
      <c r="J10" s="11">
        <f t="shared" ref="J10:J73" si="1" xml:space="preserve"> E10 - N10*E30</f>
        <v>13.055062861855438</v>
      </c>
      <c r="K10" s="12">
        <f xml:space="preserve"> 1 - i/(1+i)*J10</f>
        <v>0.37833033991164589</v>
      </c>
      <c r="L10" s="12">
        <f>(1+i)^(-5) * C15/C10</f>
        <v>0.78249763881736067</v>
      </c>
      <c r="M10" s="12">
        <f xml:space="preserve"> (1+i)^(-10) * C20/C10</f>
        <v>0.61219873584615514</v>
      </c>
      <c r="N10" s="12">
        <f xml:space="preserve"> (1+i)^(-20) * C30/C10</f>
        <v>0.37429148916423982</v>
      </c>
      <c r="O10" s="24">
        <f t="shared" ref="O10:O73" si="2">B10</f>
        <v>21</v>
      </c>
    </row>
    <row r="11" spans="2:15" x14ac:dyDescent="0.25">
      <c r="B11" s="2">
        <v>22</v>
      </c>
      <c r="C11" s="3">
        <f>100000 * EXP(-Makeham_A*('Life Table'!$B11-$B$9) - Makeham_B/LN(Makeham_c) * (Makeham_c^'Life Table'!$B11 - Makeham_c^$B$9))</f>
        <v>99949.710700229582</v>
      </c>
      <c r="D11" s="4">
        <f xml:space="preserve"> 1 - C12/'Life Table'!$C11</f>
        <v>2.5745146394939855E-4</v>
      </c>
      <c r="E11" s="5">
        <f>1 + (1-'Life Table'!$D11) * (1+i)^(-1) * E12</f>
        <v>19.870704123913711</v>
      </c>
      <c r="F11" s="6">
        <f>(1+i)^(-1) * 'Life Table'!$D11 + (1+i)^(-1) * (1-'Life Table'!$D11) * F12</f>
        <v>5.3775994099345921E-2</v>
      </c>
      <c r="G11" s="6">
        <f xml:space="preserve"> (1+i)^(-2) * 'Life Table'!$D11 + (1+i)^(-2) * (1-'Life Table'!$D11) * G12</f>
        <v>6.5227720190297366E-3</v>
      </c>
      <c r="H11" s="5">
        <f t="shared" si="0"/>
        <v>8.0987826048746001</v>
      </c>
      <c r="I11" s="6">
        <f xml:space="preserve"> 1 - i/(1+i)*H11</f>
        <v>0.61434368548216189</v>
      </c>
      <c r="J11" s="5">
        <f t="shared" si="1"/>
        <v>13.054128904046635</v>
      </c>
      <c r="K11" s="6">
        <f xml:space="preserve"> 1 - i/(1+i)*J11</f>
        <v>0.37837481409301743</v>
      </c>
      <c r="L11" s="6">
        <f>(1+i)^(-5) * C16/C11</f>
        <v>0.78247691808617081</v>
      </c>
      <c r="M11" s="6">
        <f xml:space="preserve"> (1+i)^(-10) * C21/C11</f>
        <v>0.61215344229109958</v>
      </c>
      <c r="N11" s="6">
        <f xml:space="preserve"> (1+i)^(-20) * C31/C11</f>
        <v>0.37417468250546715</v>
      </c>
      <c r="O11" s="7">
        <f t="shared" si="2"/>
        <v>22</v>
      </c>
    </row>
    <row r="12" spans="2:15" x14ac:dyDescent="0.25">
      <c r="B12" s="8">
        <v>23</v>
      </c>
      <c r="C12" s="9">
        <f>100000 * EXP(-Makeham_A*('Life Table'!$B12-$B$9) - Makeham_B/LN(Makeham_c) * (Makeham_c^'Life Table'!$B12 - Makeham_c^$B$9))</f>
        <v>99923.978500888494</v>
      </c>
      <c r="D12" s="10">
        <f xml:space="preserve"> 1 - C13/'Life Table'!$C12</f>
        <v>2.6209834816470767E-4</v>
      </c>
      <c r="E12" s="11">
        <f>1 + (1-'Life Table'!$D12) * (1+i)^(-1) * E13</f>
        <v>19.819341848682857</v>
      </c>
      <c r="F12" s="12">
        <f>(1+i)^(-1) * 'Life Table'!$D12 + (1+i)^(-1) * (1-'Life Table'!$D12) * F13</f>
        <v>5.6221816729386698E-2</v>
      </c>
      <c r="G12" s="12">
        <f xml:space="preserve"> (1+i)^(-2) * 'Life Table'!$D12 + (1+i)^(-2) * (1-'Life Table'!$D12) * G13</f>
        <v>6.9356902906497148E-3</v>
      </c>
      <c r="H12" s="11">
        <f t="shared" si="0"/>
        <v>8.0985678376696892</v>
      </c>
      <c r="I12" s="12">
        <f xml:space="preserve"> 1 - i/(1+i)*H12</f>
        <v>0.61435391249191951</v>
      </c>
      <c r="J12" s="11">
        <f t="shared" si="1"/>
        <v>13.053079300254609</v>
      </c>
      <c r="K12" s="12">
        <f xml:space="preserve"> 1 - i/(1+i)*J12</f>
        <v>0.37842479522597106</v>
      </c>
      <c r="L12" s="12">
        <f>(1+i)^(-5) * C17/C12</f>
        <v>0.78245362863927725</v>
      </c>
      <c r="M12" s="12">
        <f xml:space="preserve"> (1+i)^(-10) * C22/C12</f>
        <v>0.61210253633530831</v>
      </c>
      <c r="N12" s="12">
        <f xml:space="preserve"> (1+i)^(-20) * C32/C12</f>
        <v>0.3740434353331501</v>
      </c>
      <c r="O12" s="24">
        <f t="shared" si="2"/>
        <v>23</v>
      </c>
    </row>
    <row r="13" spans="2:15" x14ac:dyDescent="0.25">
      <c r="B13" s="2">
        <v>24</v>
      </c>
      <c r="C13" s="3">
        <f>100000 * EXP(-Makeham_A*('Life Table'!$B13-$B$9) - Makeham_B/LN(Makeham_c) * (Makeham_c^'Life Table'!$B13 - Makeham_c^$B$9))</f>
        <v>99897.788591181365</v>
      </c>
      <c r="D13" s="4">
        <f xml:space="preserve"> 1 - C14/'Life Table'!$C13</f>
        <v>2.6732142024021854E-4</v>
      </c>
      <c r="E13" s="5">
        <f>1 + (1-'Life Table'!$D13) * (1+i)^(-1) * E14</f>
        <v>19.765489443250743</v>
      </c>
      <c r="F13" s="6">
        <f>(1+i)^(-1) * 'Life Table'!$D13 + (1+i)^(-1) * (1-'Life Table'!$D13) * F14</f>
        <v>5.8786216988058755E-2</v>
      </c>
      <c r="G13" s="6">
        <f xml:space="preserve"> (1+i)^(-2) * 'Life Table'!$D13 + (1+i)^(-2) * (1-'Life Table'!$D13) * G14</f>
        <v>7.3864361699955841E-3</v>
      </c>
      <c r="H13" s="5">
        <f t="shared" si="0"/>
        <v>8.0983264506908732</v>
      </c>
      <c r="I13" s="6">
        <f xml:space="preserve"> 1 - i/(1+i)*H13</f>
        <v>0.61436540710995846</v>
      </c>
      <c r="J13" s="5">
        <f t="shared" si="1"/>
        <v>13.051899753733013</v>
      </c>
      <c r="K13" s="6">
        <f xml:space="preserve"> 1 - i/(1+i)*J13</f>
        <v>0.37848096410795184</v>
      </c>
      <c r="L13" s="6">
        <f>(1+i)^(-5) * C18/C13</f>
        <v>0.78242745212840992</v>
      </c>
      <c r="M13" s="6">
        <f xml:space="preserve"> (1+i)^(-10) * C23/C13</f>
        <v>0.61204532309419579</v>
      </c>
      <c r="N13" s="6">
        <f xml:space="preserve"> (1+i)^(-20) * C33/C13</f>
        <v>0.37389596846429302</v>
      </c>
      <c r="O13" s="7">
        <f t="shared" si="2"/>
        <v>24</v>
      </c>
    </row>
    <row r="14" spans="2:15" x14ac:dyDescent="0.25">
      <c r="B14" s="8">
        <v>25</v>
      </c>
      <c r="C14" s="9">
        <f>100000 * EXP(-Makeham_A*('Life Table'!$B14-$B$9) - Makeham_B/LN(Makeham_c) * (Makeham_c^'Life Table'!$B14 - Makeham_c^$B$9))</f>
        <v>99871.083772456317</v>
      </c>
      <c r="D14" s="10">
        <f xml:space="preserve"> 1 - C15/'Life Table'!$C14</f>
        <v>2.7319212068055432E-4</v>
      </c>
      <c r="E14" s="11">
        <f>1 + (1-'Life Table'!$D14) * (1+i)^(-1) * E15</f>
        <v>19.709032561989311</v>
      </c>
      <c r="F14" s="12">
        <f>(1+i)^(-1) * 'Life Table'!$D14 + (1+i)^(-1) * (1-'Life Table'!$D14) * F15</f>
        <v>6.1474639905269711E-2</v>
      </c>
      <c r="G14" s="12">
        <f xml:space="preserve"> (1+i)^(-2) * 'Life Table'!$D14 + (1+i)^(-2) * (1-'Life Table'!$D14) * G15</f>
        <v>7.8783305036792782E-3</v>
      </c>
      <c r="H14" s="11">
        <f t="shared" si="0"/>
        <v>8.0980551460771526</v>
      </c>
      <c r="I14" s="12">
        <f xml:space="preserve"> 1 - i/(1+i)*H14</f>
        <v>0.61437832637727841</v>
      </c>
      <c r="J14" s="11">
        <f t="shared" si="1"/>
        <v>13.050574206338959</v>
      </c>
      <c r="K14" s="12">
        <f xml:space="preserve"> 1 - i/(1+i)*J14</f>
        <v>0.37854408541243056</v>
      </c>
      <c r="L14" s="12">
        <f>(1+i)^(-5) * C19/C14</f>
        <v>0.78239803077552927</v>
      </c>
      <c r="M14" s="12">
        <f xml:space="preserve"> (1+i)^(-10) * C24/C14</f>
        <v>0.61198102179467362</v>
      </c>
      <c r="N14" s="12">
        <f xml:space="preserve"> (1+i)^(-20) * C34/C14</f>
        <v>0.37373028510228518</v>
      </c>
      <c r="O14" s="24">
        <f t="shared" si="2"/>
        <v>25</v>
      </c>
    </row>
    <row r="15" spans="2:15" x14ac:dyDescent="0.25">
      <c r="B15" s="2">
        <v>26</v>
      </c>
      <c r="C15" s="3">
        <f>100000 * EXP(-Makeham_A*('Life Table'!$B15-$B$9) - Makeham_B/LN(Makeham_c) * (Makeham_c^'Life Table'!$B15 - Makeham_c^$B$9))</f>
        <v>99843.799779285851</v>
      </c>
      <c r="D15" s="4">
        <f xml:space="preserve"> 1 - C16/'Life Table'!$C15</f>
        <v>2.7979074682327187E-4</v>
      </c>
      <c r="E15" s="5">
        <f>1 + (1-'Life Table'!$D15) * (1+i)^(-1) * E16</f>
        <v>19.649852374930145</v>
      </c>
      <c r="F15" s="6">
        <f>(1+i)^(-1) * 'Life Table'!$D15 + (1+i)^(-1) * (1-'Life Table'!$D15) * F16</f>
        <v>6.4292744050944303E-2</v>
      </c>
      <c r="G15" s="6">
        <f xml:space="preserve"> (1+i)^(-2) * 'Life Table'!$D15 + (1+i)^(-2) * (1-'Life Table'!$D15) * G16</f>
        <v>8.4149661620771237E-3</v>
      </c>
      <c r="H15" s="5">
        <f t="shared" si="0"/>
        <v>8.097750217820165</v>
      </c>
      <c r="I15" s="6">
        <f xml:space="preserve"> 1 - i/(1+i)*H15</f>
        <v>0.61439284677046835</v>
      </c>
      <c r="J15" s="5">
        <f t="shared" si="1"/>
        <v>13.049084623114435</v>
      </c>
      <c r="K15" s="6">
        <f xml:space="preserve"> 1 - i/(1+i)*J15</f>
        <v>0.37861501794693164</v>
      </c>
      <c r="L15" s="6">
        <f>(1+i)^(-5) * C20/C15</f>
        <v>0.78236496249549159</v>
      </c>
      <c r="M15" s="6">
        <f xml:space="preserve"> (1+i)^(-10) * C25/C15</f>
        <v>0.61190875519790588</v>
      </c>
      <c r="N15" s="6">
        <f xml:space="preserve"> (1+i)^(-20) * C35/C15</f>
        <v>0.37354414464086988</v>
      </c>
      <c r="O15" s="7">
        <f t="shared" si="2"/>
        <v>26</v>
      </c>
    </row>
    <row r="16" spans="2:15" x14ac:dyDescent="0.25">
      <c r="B16" s="8">
        <v>27</v>
      </c>
      <c r="C16" s="9">
        <f>100000 * EXP(-Makeham_A*('Life Table'!$B16-$B$9) - Makeham_B/LN(Makeham_c) * (Makeham_c^'Life Table'!$B16 - Makeham_c^$B$9))</f>
        <v>99815.864407979927</v>
      </c>
      <c r="D16" s="10">
        <f xml:space="preserve"> 1 - C17/'Life Table'!$C16</f>
        <v>2.8720755061883985E-4</v>
      </c>
      <c r="E16" s="11">
        <f>1 + (1-'Life Table'!$D16) * (1+i)^(-1) * E17</f>
        <v>19.587825485998025</v>
      </c>
      <c r="F16" s="12">
        <f>(1+i)^(-1) * 'Life Table'!$D16 + (1+i)^(-1) * (1-'Life Table'!$D16) * F17</f>
        <v>6.7246405428664308E-2</v>
      </c>
      <c r="G16" s="12">
        <f xml:space="preserve"> (1+i)^(-2) * 'Life Table'!$D16 + (1+i)^(-2) * (1-'Life Table'!$D16) * G17</f>
        <v>9.0002276272761732E-3</v>
      </c>
      <c r="H16" s="11">
        <f t="shared" si="0"/>
        <v>8.0974075013611131</v>
      </c>
      <c r="I16" s="12">
        <f xml:space="preserve"> 1 - i/(1+i)*H16</f>
        <v>0.61440916660185185</v>
      </c>
      <c r="J16" s="11">
        <f t="shared" si="1"/>
        <v>13.047410750941188</v>
      </c>
      <c r="K16" s="12">
        <f xml:space="preserve"> 1 - i/(1+i)*J16</f>
        <v>0.3786947261456578</v>
      </c>
      <c r="L16" s="12">
        <f>(1+i)^(-5) * C21/C16</f>
        <v>0.78232779541707287</v>
      </c>
      <c r="M16" s="12">
        <f xml:space="preserve"> (1+i)^(-10) * C26/C16</f>
        <v>0.61182753772966136</v>
      </c>
      <c r="N16" s="12">
        <f xml:space="preserve"> (1+i)^(-20) * C36/C16</f>
        <v>0.3733350334259336</v>
      </c>
      <c r="O16" s="24">
        <f t="shared" si="2"/>
        <v>27</v>
      </c>
    </row>
    <row r="17" spans="2:15" x14ac:dyDescent="0.25">
      <c r="B17" s="2">
        <v>28</v>
      </c>
      <c r="C17" s="3">
        <f>100000 * EXP(-Makeham_A*('Life Table'!$B17-$B$9) - Makeham_B/LN(Makeham_c) * (Makeham_c^'Life Table'!$B17 - Makeham_c^$B$9))</f>
        <v>99787.196538050412</v>
      </c>
      <c r="D17" s="4">
        <f xml:space="preserve"> 1 - C18/'Life Table'!$C17</f>
        <v>2.9554397240239005E-4</v>
      </c>
      <c r="E17" s="5">
        <f>1 + (1-'Life Table'!$D17) * (1+i)^(-1) * E18</f>
        <v>19.522823862720703</v>
      </c>
      <c r="F17" s="6">
        <f>(1+i)^(-1) * 'Life Table'!$D17 + (1+i)^(-1) * (1-'Life Table'!$D17) * F18</f>
        <v>7.0341720822822529E-2</v>
      </c>
      <c r="G17" s="6">
        <f xml:space="preserve"> (1+i)^(-2) * 'Life Table'!$D17 + (1+i)^(-2) * (1-'Life Table'!$D17) * G18</f>
        <v>9.638311604321121E-3</v>
      </c>
      <c r="H17" s="5">
        <f t="shared" si="0"/>
        <v>8.0970223169922821</v>
      </c>
      <c r="I17" s="6">
        <f xml:space="preserve"> 1 - i/(1+i)*H17</f>
        <v>0.61442750871465324</v>
      </c>
      <c r="J17" s="5">
        <f t="shared" si="1"/>
        <v>13.045529848259722</v>
      </c>
      <c r="K17" s="6">
        <f xml:space="preserve"> 1 - i/(1+i)*J17</f>
        <v>0.37878429294001326</v>
      </c>
      <c r="L17" s="6">
        <f>(1+i)^(-5) * C22/C17</f>
        <v>0.78228602172857542</v>
      </c>
      <c r="M17" s="6">
        <f xml:space="preserve"> (1+i)^(-10) * C27/C17</f>
        <v>0.61173626216304744</v>
      </c>
      <c r="N17" s="6">
        <f xml:space="preserve"> (1+i)^(-20) * C37/C17</f>
        <v>0.37310013215157972</v>
      </c>
      <c r="O17" s="7">
        <f t="shared" si="2"/>
        <v>28</v>
      </c>
    </row>
    <row r="18" spans="2:15" x14ac:dyDescent="0.25">
      <c r="B18" s="8">
        <v>29</v>
      </c>
      <c r="C18" s="9">
        <f>100000 * EXP(-Makeham_A*('Life Table'!$B18-$B$9) - Makeham_B/LN(Makeham_c) * (Makeham_c^'Life Table'!$B18 - Makeham_c^$B$9))</f>
        <v>99757.705033590653</v>
      </c>
      <c r="D18" s="10">
        <f xml:space="preserve"> 1 - C19/'Life Table'!$C18</f>
        <v>3.0491402750731922E-4</v>
      </c>
      <c r="E18" s="11">
        <f>1 + (1-'Life Table'!$D18) * (1+i)^(-1) * E19</f>
        <v>19.454714779544641</v>
      </c>
      <c r="F18" s="12">
        <f>(1+i)^(-1) * 'Life Table'!$D18 + (1+i)^(-1) * (1-'Life Table'!$D18) * F19</f>
        <v>7.3585010497873082E-2</v>
      </c>
      <c r="G18" s="12">
        <f xml:space="preserve"> (1+i)^(-2) * 'Life Table'!$D18 + (1+i)^(-2) * (1-'Life Table'!$D18) * G19</f>
        <v>1.0333748648487028E-2</v>
      </c>
      <c r="H18" s="11">
        <f t="shared" si="0"/>
        <v>8.0965894063091479</v>
      </c>
      <c r="I18" s="12">
        <f xml:space="preserve"> 1 - i/(1+i)*H18</f>
        <v>0.61444812350908817</v>
      </c>
      <c r="J18" s="11">
        <f t="shared" si="1"/>
        <v>13.043416382523258</v>
      </c>
      <c r="K18" s="12">
        <f xml:space="preserve"> 1 - i/(1+i)*J18</f>
        <v>0.37888493416555913</v>
      </c>
      <c r="L18" s="12">
        <f>(1+i)^(-5) * C23/C18</f>
        <v>0.78223907076530907</v>
      </c>
      <c r="M18" s="12">
        <f xml:space="preserve"> (1+i)^(-10) * C28/C18</f>
        <v>0.61163368468047052</v>
      </c>
      <c r="N18" s="12">
        <f xml:space="preserve"> (1+i)^(-20) * C38/C18</f>
        <v>0.37283627954071458</v>
      </c>
      <c r="O18" s="24">
        <f t="shared" si="2"/>
        <v>29</v>
      </c>
    </row>
    <row r="19" spans="2:15" x14ac:dyDescent="0.25">
      <c r="B19" s="2">
        <v>30</v>
      </c>
      <c r="C19" s="3">
        <f>100000 * EXP(-Makeham_A*('Life Table'!$B19-$B$9) - Makeham_B/LN(Makeham_c) * (Makeham_c^'Life Table'!$B19 - Makeham_c^$B$9))</f>
        <v>99727.287509973976</v>
      </c>
      <c r="D19" s="4">
        <f xml:space="preserve"> 1 - C20/'Life Table'!$C19</f>
        <v>3.1544586461096369E-4</v>
      </c>
      <c r="E19" s="5">
        <f>1 + (1-'Life Table'!$D19) * (1+i)^(-1) * E20</f>
        <v>19.383360777123052</v>
      </c>
      <c r="F19" s="6">
        <f>(1+i)^(-1) * 'Life Table'!$D19 + (1+i)^(-1) * (1-'Life Table'!$D19) * F20</f>
        <v>7.6982820136996255E-2</v>
      </c>
      <c r="G19" s="6">
        <f xml:space="preserve"> (1+i)^(-2) * 'Life Table'!$D19 + (1+i)^(-2) * (1-'Life Table'!$D19) * G20</f>
        <v>1.1091425788757679E-2</v>
      </c>
      <c r="H19" s="5">
        <f t="shared" si="0"/>
        <v>8.0961028608695198</v>
      </c>
      <c r="I19" s="6">
        <f xml:space="preserve"> 1 - i/(1+i)*H19</f>
        <v>0.61447129233954667</v>
      </c>
      <c r="J19" s="5">
        <f t="shared" si="1"/>
        <v>13.04104169171228</v>
      </c>
      <c r="K19" s="6">
        <f xml:space="preserve"> 1 - i/(1+i)*J19</f>
        <v>0.37899801468036765</v>
      </c>
      <c r="L19" s="6">
        <f>(1+i)^(-5) * C24/C19</f>
        <v>0.7821863012462662</v>
      </c>
      <c r="M19" s="6">
        <f xml:space="preserve"> (1+i)^(-10) * C29/C19</f>
        <v>0.61151840812188429</v>
      </c>
      <c r="N19" s="6">
        <f xml:space="preserve"> (1+i)^(-20) * C39/C19</f>
        <v>0.37253993193446261</v>
      </c>
      <c r="O19" s="7">
        <f t="shared" si="2"/>
        <v>30</v>
      </c>
    </row>
    <row r="20" spans="2:15" x14ac:dyDescent="0.25">
      <c r="B20" s="8">
        <v>31</v>
      </c>
      <c r="C20" s="9">
        <f>100000 * EXP(-Makeham_A*('Life Table'!$B20-$B$9) - Makeham_B/LN(Makeham_c) * (Makeham_c^'Life Table'!$B20 - Makeham_c^$B$9))</f>
        <v>99695.828949540082</v>
      </c>
      <c r="D20" s="10">
        <f xml:space="preserve"> 1 - C21/'Life Table'!$C20</f>
        <v>3.2728351707156378E-4</v>
      </c>
      <c r="E20" s="11">
        <f>1 + (1-'Life Table'!$D20) * (1+i)^(-1) * E21</f>
        <v>19.308619640196053</v>
      </c>
      <c r="F20" s="12">
        <f>(1+i)^(-1) * 'Life Table'!$D20 + (1+i)^(-1) * (1-'Life Table'!$D20) * F21</f>
        <v>8.0541921895424834E-2</v>
      </c>
      <c r="G20" s="12">
        <f xml:space="preserve"> (1+i)^(-2) * 'Life Table'!$D20 + (1+i)^(-2) * (1-'Life Table'!$D20) * G21</f>
        <v>1.1916610112874667E-2</v>
      </c>
      <c r="H20" s="11">
        <f t="shared" si="0"/>
        <v>8.0955560421161863</v>
      </c>
      <c r="I20" s="12">
        <f xml:space="preserve"> 1 - i/(1+i)*H20</f>
        <v>0.6144973313278006</v>
      </c>
      <c r="J20" s="11">
        <f t="shared" si="1"/>
        <v>13.038373605864304</v>
      </c>
      <c r="K20" s="12">
        <f xml:space="preserve"> 1 - i/(1+i)*J20</f>
        <v>0.37912506638741406</v>
      </c>
      <c r="L20" s="12">
        <f>(1+i)^(-5) * C25/C20</f>
        <v>0.78212699255615226</v>
      </c>
      <c r="M20" s="12">
        <f xml:space="preserve"> (1+i)^(-10) * C30/C20</f>
        <v>0.61138886320454422</v>
      </c>
      <c r="N20" s="12">
        <f xml:space="preserve"> (1+i)^(-20) * C40/C20</f>
        <v>0.37220711839002296</v>
      </c>
      <c r="O20" s="24">
        <f t="shared" si="2"/>
        <v>31</v>
      </c>
    </row>
    <row r="21" spans="2:15" x14ac:dyDescent="0.25">
      <c r="B21" s="2">
        <v>32</v>
      </c>
      <c r="C21" s="3">
        <f>100000 * EXP(-Makeham_A*('Life Table'!$B21-$B$9) - Makeham_B/LN(Makeham_c) * (Makeham_c^'Life Table'!$B21 - Makeham_c^$B$9))</f>
        <v>99663.200148004107</v>
      </c>
      <c r="D21" s="4">
        <f xml:space="preserve"> 1 - C22/'Life Table'!$C21</f>
        <v>3.405888711131011E-4</v>
      </c>
      <c r="E21" s="5">
        <f>1 + (1-'Life Table'!$D21) * (1+i)^(-1) * E22</f>
        <v>19.230344396954589</v>
      </c>
      <c r="F21" s="6">
        <f>(1+i)^(-1) * 'Life Table'!$D21 + (1+i)^(-1) * (1-'Life Table'!$D21) * F22</f>
        <v>8.4269314430732614E-2</v>
      </c>
      <c r="G21" s="6">
        <f xml:space="preserve"> (1+i)^(-2) * 'Life Table'!$D21 + (1+i)^(-2) * (1-'Life Table'!$D21) * G22</f>
        <v>1.2814973261893087E-2</v>
      </c>
      <c r="H21" s="5">
        <f t="shared" si="0"/>
        <v>8.0949414915085942</v>
      </c>
      <c r="I21" s="6">
        <f xml:space="preserve"> 1 - i/(1+i)*H21</f>
        <v>0.61452659564244794</v>
      </c>
      <c r="J21" s="5">
        <f t="shared" si="1"/>
        <v>13.035376024178586</v>
      </c>
      <c r="K21" s="6">
        <f xml:space="preserve"> 1 - i/(1+i)*J21</f>
        <v>0.37926780837244833</v>
      </c>
      <c r="L21" s="6">
        <f>(1+i)^(-5) * C26/C21</f>
        <v>0.7820603349565064</v>
      </c>
      <c r="M21" s="6">
        <f xml:space="preserve"> (1+i)^(-10) * C31/C21</f>
        <v>0.61124328747551915</v>
      </c>
      <c r="N21" s="6">
        <f xml:space="preserve"> (1+i)^(-20) * C41/C21</f>
        <v>0.37183339086439143</v>
      </c>
      <c r="O21" s="7">
        <f t="shared" si="2"/>
        <v>32</v>
      </c>
    </row>
    <row r="22" spans="2:15" x14ac:dyDescent="0.25">
      <c r="B22" s="8">
        <v>33</v>
      </c>
      <c r="C22" s="9">
        <f>100000 * EXP(-Makeham_A*('Life Table'!$B22-$B$9) - Makeham_B/LN(Makeham_c) * (Makeham_c^'Life Table'!$B22 - Makeham_c^$B$9))</f>
        <v>99629.255971174178</v>
      </c>
      <c r="D22" s="10">
        <f xml:space="preserve"> 1 - C23/'Life Table'!$C22</f>
        <v>3.5554387766523199E-4</v>
      </c>
      <c r="E22" s="11">
        <f>1 + (1-'Life Table'!$D22) * (1+i)^(-1) * E23</f>
        <v>19.148383343068776</v>
      </c>
      <c r="F22" s="12">
        <f>(1+i)^(-1) * 'Life Table'!$D22 + (1+i)^(-1) * (1-'Life Table'!$D22) * F23</f>
        <v>8.8172221758628461E-2</v>
      </c>
      <c r="G22" s="12">
        <f xml:space="preserve"> (1+i)^(-2) * 'Life Table'!$D22 + (1+i)^(-2) * (1-'Life Table'!$D22) * G23</f>
        <v>1.3792616761896659E-2</v>
      </c>
      <c r="H22" s="11">
        <f t="shared" si="0"/>
        <v>8.0942508296859081</v>
      </c>
      <c r="I22" s="12">
        <f xml:space="preserve"> 1 - i/(1+i)*H22</f>
        <v>0.61455948430067109</v>
      </c>
      <c r="J22" s="11">
        <f t="shared" si="1"/>
        <v>13.032008442839009</v>
      </c>
      <c r="K22" s="12">
        <f xml:space="preserve"> 1 - i/(1+i)*J22</f>
        <v>0.37942816938861867</v>
      </c>
      <c r="L22" s="12">
        <f>(1+i)^(-5) * C27/C22</f>
        <v>0.78198541859577986</v>
      </c>
      <c r="M22" s="12">
        <f xml:space="preserve"> (1+i)^(-10) * C32/C22</f>
        <v>0.61107970173194981</v>
      </c>
      <c r="N22" s="12">
        <f xml:space="preserve"> (1+i)^(-20) * C42/C22</f>
        <v>0.37141376904335521</v>
      </c>
      <c r="O22" s="24">
        <f t="shared" si="2"/>
        <v>33</v>
      </c>
    </row>
    <row r="23" spans="2:15" x14ac:dyDescent="0.25">
      <c r="B23" s="2">
        <v>34</v>
      </c>
      <c r="C23" s="3">
        <f>100000 * EXP(-Makeham_A*('Life Table'!$B23-$B$9) - Makeham_B/LN(Makeham_c) * (Makeham_c^'Life Table'!$B23 - Makeham_c^$B$9))</f>
        <v>99593.833399177282</v>
      </c>
      <c r="D23" s="4">
        <f xml:space="preserve"> 1 - C24/'Life Table'!$C23</f>
        <v>3.723530379682316E-4</v>
      </c>
      <c r="E23" s="5">
        <f>1 + (1-'Life Table'!$D23) * (1+i)^(-1) * E24</f>
        <v>19.062580093867094</v>
      </c>
      <c r="F23" s="6">
        <f>(1+i)^(-1) * 'Life Table'!$D23 + (1+i)^(-1) * (1-'Life Table'!$D23) * F24</f>
        <v>9.2258090768232381E-2</v>
      </c>
      <c r="G23" s="6">
        <f xml:space="preserve"> (1+i)^(-2) * 'Life Table'!$D23 + (1+i)^(-2) * (1-'Life Table'!$D23) * G24</f>
        <v>1.4856098097050236E-2</v>
      </c>
      <c r="H23" s="5">
        <f t="shared" si="0"/>
        <v>8.0934746433472355</v>
      </c>
      <c r="I23" s="6">
        <f xml:space="preserve"> 1 - i/(1+i)*H23</f>
        <v>0.61459644555489357</v>
      </c>
      <c r="J23" s="5">
        <f t="shared" si="1"/>
        <v>13.028225428264346</v>
      </c>
      <c r="K23" s="6">
        <f xml:space="preserve"> 1 - i/(1+i)*J23</f>
        <v>0.37960831293979314</v>
      </c>
      <c r="L23" s="6">
        <f>(1+i)^(-5) * C28/C23</f>
        <v>0.7819012211727987</v>
      </c>
      <c r="M23" s="6">
        <f xml:space="preserve"> (1+i)^(-10) * C33/C23</f>
        <v>0.61089588361538583</v>
      </c>
      <c r="N23" s="6">
        <f xml:space="preserve"> (1+i)^(-20) * C43/C23</f>
        <v>0.37094267936356218</v>
      </c>
      <c r="O23" s="7">
        <f t="shared" si="2"/>
        <v>34</v>
      </c>
    </row>
    <row r="24" spans="2:15" x14ac:dyDescent="0.25">
      <c r="B24" s="8">
        <v>35</v>
      </c>
      <c r="C24" s="9">
        <f>100000 * EXP(-Makeham_A*('Life Table'!$B24-$B$9) - Makeham_B/LN(Makeham_c) * (Makeham_c^'Life Table'!$B24 - Makeham_c^$B$9))</f>
        <v>99556.749332748193</v>
      </c>
      <c r="D24" s="10">
        <f xml:space="preserve"> 1 - C25/'Life Table'!$C24</f>
        <v>3.9124619675479089E-4</v>
      </c>
      <c r="E24" s="11">
        <f>1 + (1-'Life Table'!$D24) * (1+i)^(-1) * E25</f>
        <v>18.972773668474591</v>
      </c>
      <c r="F24" s="12">
        <f>(1+i)^(-1) * 'Life Table'!$D24 + (1+i)^(-1) * (1-'Life Table'!$D24) * F25</f>
        <v>9.6534587215494475E-2</v>
      </c>
      <c r="G24" s="12">
        <f xml:space="preserve"> (1+i)^(-2) * 'Life Table'!$D24 + (1+i)^(-2) * (1-'Life Table'!$D24) * G25</f>
        <v>1.6012457401188323E-2</v>
      </c>
      <c r="H24" s="11">
        <f t="shared" si="0"/>
        <v>8.0926023583839672</v>
      </c>
      <c r="I24" s="12">
        <f xml:space="preserve"> 1 - i/(1+i)*H24</f>
        <v>0.61463798293409688</v>
      </c>
      <c r="J24" s="11">
        <f t="shared" si="1"/>
        <v>13.02397603005052</v>
      </c>
      <c r="K24" s="12">
        <f xml:space="preserve"> 1 - i/(1+i)*J24</f>
        <v>0.37981066523568963</v>
      </c>
      <c r="L24" s="12">
        <f>(1+i)^(-5) * C29/C24</f>
        <v>0.78180659409087727</v>
      </c>
      <c r="M24" s="12">
        <f xml:space="preserve"> (1+i)^(-10) * C34/C24</f>
        <v>0.6106893380554469</v>
      </c>
      <c r="N24" s="12">
        <f xml:space="preserve"> (1+i)^(-20) * C44/C24</f>
        <v>0.37041388777316198</v>
      </c>
      <c r="O24" s="24">
        <f t="shared" si="2"/>
        <v>35</v>
      </c>
    </row>
    <row r="25" spans="2:15" x14ac:dyDescent="0.25">
      <c r="B25" s="2">
        <v>36</v>
      </c>
      <c r="C25" s="3">
        <f>100000 * EXP(-Makeham_A*('Life Table'!$B25-$B$9) - Makeham_B/LN(Makeham_c) * (Makeham_c^'Life Table'!$B25 - Makeham_c^$B$9))</f>
        <v>99517.798133210483</v>
      </c>
      <c r="D25" s="4">
        <f xml:space="preserve"> 1 - C26/'Life Table'!$C25</f>
        <v>4.1248168098406701E-4</v>
      </c>
      <c r="E25" s="5">
        <f>1 + (1-'Life Table'!$D25) * (1+i)^(-1) * E26</f>
        <v>18.878798610053806</v>
      </c>
      <c r="F25" s="6">
        <f>(1+i)^(-1) * 'Life Table'!$D25 + (1+i)^(-1) * (1-'Life Table'!$D25) * F26</f>
        <v>0.10100958999743667</v>
      </c>
      <c r="G25" s="6">
        <f xml:space="preserve"> (1+i)^(-2) * 'Life Table'!$D25 + (1+i)^(-2) * (1-'Life Table'!$D25) * G26</f>
        <v>1.7269244614331526E-2</v>
      </c>
      <c r="H25" s="5">
        <f t="shared" si="0"/>
        <v>8.0916220976326638</v>
      </c>
      <c r="I25" s="6">
        <f xml:space="preserve"> 1 - i/(1+i)*H25</f>
        <v>0.61468466201749217</v>
      </c>
      <c r="J25" s="5">
        <f t="shared" si="1"/>
        <v>13.01920312742325</v>
      </c>
      <c r="K25" s="6">
        <f xml:space="preserve"> 1 - i/(1+i)*J25</f>
        <v>0.38003794631317867</v>
      </c>
      <c r="L25" s="6">
        <f>(1+i)^(-5) * C30/C25</f>
        <v>0.78170024692077089</v>
      </c>
      <c r="M25" s="6">
        <f xml:space="preserve"> (1+i)^(-10) * C35/C25</f>
        <v>0.61045726420445934</v>
      </c>
      <c r="N25" s="6">
        <f xml:space="preserve"> (1+i)^(-20) * C45/C25</f>
        <v>0.36982042578725616</v>
      </c>
      <c r="O25" s="7">
        <f t="shared" si="2"/>
        <v>36</v>
      </c>
    </row>
    <row r="26" spans="2:15" x14ac:dyDescent="0.25">
      <c r="B26" s="8">
        <v>37</v>
      </c>
      <c r="C26" s="9">
        <f>100000 * EXP(-Makeham_A*('Life Table'!$B26-$B$9) - Makeham_B/LN(Makeham_c) * (Makeham_c^'Life Table'!$B26 - Makeham_c^$B$9))</f>
        <v>99476.748864548659</v>
      </c>
      <c r="D26" s="10">
        <f xml:space="preserve"> 1 - C27/'Life Table'!$C26</f>
        <v>4.3634982675866407E-4</v>
      </c>
      <c r="E26" s="11">
        <f>1 + (1-'Life Table'!$D26) * (1+i)^(-1) * E27</f>
        <v>18.780485146639482</v>
      </c>
      <c r="F26" s="12">
        <f>(1+i)^(-1) * 'Life Table'!$D26 + (1+i)^(-1) * (1-'Life Table'!$D26) * F27</f>
        <v>0.10569118349335697</v>
      </c>
      <c r="G26" s="12">
        <f xml:space="preserve"> (1+i)^(-2) * 'Life Table'!$D26 + (1+i)^(-2) * (1-'Life Table'!$D26) * G27</f>
        <v>1.8634546915552545E-2</v>
      </c>
      <c r="H26" s="11">
        <f t="shared" si="0"/>
        <v>8.0905205214336977</v>
      </c>
      <c r="I26" s="12">
        <f xml:space="preserve"> 1 - i/(1+i)*H26</f>
        <v>0.61473711802696673</v>
      </c>
      <c r="J26" s="11">
        <f t="shared" si="1"/>
        <v>13.013842702585059</v>
      </c>
      <c r="K26" s="12">
        <f xml:space="preserve"> 1 - i/(1+i)*J26</f>
        <v>0.38029320463880678</v>
      </c>
      <c r="L26" s="12">
        <f>(1+i)^(-5) * C31/C26</f>
        <v>0.78158072996952688</v>
      </c>
      <c r="M26" s="12">
        <f xml:space="preserve"> (1+i)^(-10) * C36/C26</f>
        <v>0.61019651846872791</v>
      </c>
      <c r="N26" s="12">
        <f xml:space="preserve"> (1+i)^(-20) * C46/C26</f>
        <v>0.36915450942296579</v>
      </c>
      <c r="O26" s="24">
        <f t="shared" si="2"/>
        <v>37</v>
      </c>
    </row>
    <row r="27" spans="2:15" x14ac:dyDescent="0.25">
      <c r="B27" s="2">
        <v>38</v>
      </c>
      <c r="C27" s="3">
        <f>100000 * EXP(-Makeham_A*('Life Table'!$B27-$B$9) - Makeham_B/LN(Makeham_c) * (Makeham_c^'Life Table'!$B27 - Makeham_c^$B$9))</f>
        <v>99433.342202415093</v>
      </c>
      <c r="D27" s="4">
        <f xml:space="preserve"> 1 - C28/'Life Table'!$C27</f>
        <v>4.6317694229969231E-4</v>
      </c>
      <c r="E27" s="5">
        <f>1 + (1-'Life Table'!$D27) * (1+i)^(-1) * E28</f>
        <v>18.677659397413777</v>
      </c>
      <c r="F27" s="6">
        <f>(1+i)^(-1) * 'Life Table'!$D27 + (1+i)^(-1) * (1-'Life Table'!$D27) * F28</f>
        <v>0.11058764774220013</v>
      </c>
      <c r="G27" s="6">
        <f xml:space="preserve"> (1+i)^(-2) * 'Life Table'!$D27 + (1+i)^(-2) * (1-'Life Table'!$D27) * G28</f>
        <v>2.0117016204173613E-2</v>
      </c>
      <c r="H27" s="5">
        <f t="shared" si="0"/>
        <v>8.0892826489800331</v>
      </c>
      <c r="I27" s="6">
        <f xml:space="preserve"> 1 - i/(1+i)*H27</f>
        <v>0.61479606433428413</v>
      </c>
      <c r="J27" s="5">
        <f t="shared" si="1"/>
        <v>13.007823033935793</v>
      </c>
      <c r="K27" s="6">
        <f xml:space="preserve"> 1 - i/(1+i)*J27</f>
        <v>0.38057985552686702</v>
      </c>
      <c r="L27" s="6">
        <f>(1+i)^(-5) * C32/C27</f>
        <v>0.7814464147288992</v>
      </c>
      <c r="M27" s="6">
        <f xml:space="preserve"> (1+i)^(-10) * C37/C27</f>
        <v>0.60990357320380095</v>
      </c>
      <c r="N27" s="6">
        <f xml:space="preserve"> (1+i)^(-20) * C47/C27</f>
        <v>0.36840745065139807</v>
      </c>
      <c r="O27" s="7">
        <f t="shared" si="2"/>
        <v>38</v>
      </c>
    </row>
    <row r="28" spans="2:15" x14ac:dyDescent="0.25">
      <c r="B28" s="8">
        <v>39</v>
      </c>
      <c r="C28" s="9">
        <f>100000 * EXP(-Makeham_A*('Life Table'!$B28-$B$9) - Makeham_B/LN(Makeham_c) * (Makeham_c^'Life Table'!$B28 - Makeham_c^$B$9))</f>
        <v>99387.286971011141</v>
      </c>
      <c r="D28" s="10">
        <f xml:space="preserve"> 1 - C29/'Life Table'!$C28</f>
        <v>4.9332976070315393E-4</v>
      </c>
      <c r="E28" s="11">
        <f>1 + (1-'Life Table'!$D28) * (1+i)^(-1) * E29</f>
        <v>18.570143629628905</v>
      </c>
      <c r="F28" s="12">
        <f>(1+i)^(-1) * 'Life Table'!$D28 + (1+i)^(-1) * (1-'Life Table'!$D28) * F29</f>
        <v>0.11570744620814646</v>
      </c>
      <c r="G28" s="12">
        <f xml:space="preserve"> (1+i)^(-2) * 'Life Table'!$D28 + (1+i)^(-2) * (1-'Life Table'!$D28) * G29</f>
        <v>2.1725896357045093E-2</v>
      </c>
      <c r="H28" s="11">
        <f t="shared" si="0"/>
        <v>8.0878916582209346</v>
      </c>
      <c r="I28" s="12">
        <f xml:space="preserve"> 1 - i/(1+i)*H28</f>
        <v>0.61486230198947933</v>
      </c>
      <c r="J28" s="11">
        <f t="shared" si="1"/>
        <v>13.001063801794912</v>
      </c>
      <c r="K28" s="12">
        <f xml:space="preserve"> 1 - i/(1+i)*J28</f>
        <v>0.38090172372405184</v>
      </c>
      <c r="L28" s="12">
        <f>(1+i)^(-5) * C33/C28</f>
        <v>0.78129547195115456</v>
      </c>
      <c r="M28" s="12">
        <f xml:space="preserve"> (1+i)^(-10) * C38/C28</f>
        <v>0.60957447060080017</v>
      </c>
      <c r="N28" s="12">
        <f xml:space="preserve"> (1+i)^(-20) * C48/C28</f>
        <v>0.36756956108782485</v>
      </c>
      <c r="O28" s="24">
        <f t="shared" si="2"/>
        <v>39</v>
      </c>
    </row>
    <row r="29" spans="2:15" x14ac:dyDescent="0.25">
      <c r="B29" s="2">
        <v>40</v>
      </c>
      <c r="C29" s="3">
        <f>100000 * EXP(-Makeham_A*('Life Table'!$B29-$B$9) - Makeham_B/LN(Makeham_c) * (Makeham_c^'Life Table'!$B29 - Makeham_c^$B$9))</f>
        <v>99338.256264512791</v>
      </c>
      <c r="D29" s="4">
        <f xml:space="preserve"> 1 - C30/'Life Table'!$C29</f>
        <v>5.2722044279485125E-4</v>
      </c>
      <c r="E29" s="5">
        <f>1 + (1-'Life Table'!$D29) * (1+i)^(-1) * E30</f>
        <v>18.457756571743008</v>
      </c>
      <c r="F29" s="6">
        <f>(1+i)^(-1) * 'Life Table'!$D29 + (1+i)^(-1) * (1-'Life Table'!$D29) * F30</f>
        <v>0.12105921086937974</v>
      </c>
      <c r="G29" s="6">
        <f xml:space="preserve"> (1+i)^(-2) * 'Life Table'!$D29 + (1+i)^(-2) * (1-'Life Table'!$D29) * G30</f>
        <v>2.3471049940389607E-2</v>
      </c>
      <c r="H29" s="5">
        <f t="shared" si="0"/>
        <v>8.0863286618465402</v>
      </c>
      <c r="I29" s="6">
        <f xml:space="preserve"> 1 - i/(1+i)*H29</f>
        <v>0.61493673038826002</v>
      </c>
      <c r="J29" s="5">
        <f t="shared" si="1"/>
        <v>12.993475098988162</v>
      </c>
      <c r="K29" s="6">
        <f xml:space="preserve"> 1 - i/(1+i)*J29</f>
        <v>0.38126309052437324</v>
      </c>
      <c r="L29" s="6">
        <f>(1+i)^(-5) * C34/C29</f>
        <v>0.78112584707166099</v>
      </c>
      <c r="M29" s="6">
        <f xml:space="preserve"> (1+i)^(-10) * C39/C29</f>
        <v>0.60920477124902839</v>
      </c>
      <c r="N29" s="6">
        <f xml:space="preserve"> (1+i)^(-20) * C49/C29</f>
        <v>0.36663004776652697</v>
      </c>
      <c r="O29" s="7">
        <f t="shared" si="2"/>
        <v>40</v>
      </c>
    </row>
    <row r="30" spans="2:15" x14ac:dyDescent="0.25">
      <c r="B30" s="8">
        <v>41</v>
      </c>
      <c r="C30" s="9">
        <f>100000 * EXP(-Makeham_A*('Life Table'!$B30-$B$9) - Makeham_B/LN(Makeham_c) * (Makeham_c^'Life Table'!$B30 - Makeham_c^$B$9))</f>
        <v>99285.883105058543</v>
      </c>
      <c r="D30" s="10">
        <f xml:space="preserve"> 1 - C31/'Life Table'!$C30</f>
        <v>5.6531219774735852E-4</v>
      </c>
      <c r="E30" s="11">
        <f>1 + (1-'Life Table'!$D30) * (1+i)^(-1) * E31</f>
        <v>18.340313788686828</v>
      </c>
      <c r="F30" s="12">
        <f>(1+i)^(-1) * 'Life Table'!$D30 + (1+i)^(-1) * (1-'Life Table'!$D30) * F31</f>
        <v>0.12665172434824548</v>
      </c>
      <c r="G30" s="12">
        <f xml:space="preserve"> (1+i)^(-2) * 'Life Table'!$D30 + (1+i)^(-2) * (1-'Life Table'!$D30) * G31</f>
        <v>2.5362984000139845E-2</v>
      </c>
      <c r="H30" s="11">
        <f t="shared" si="0"/>
        <v>8.084572456620732</v>
      </c>
      <c r="I30" s="12">
        <f xml:space="preserve"> 1 - i/(1+i)*H30</f>
        <v>0.61502035920853659</v>
      </c>
      <c r="J30" s="11">
        <f t="shared" si="1"/>
        <v>12.984956338522892</v>
      </c>
      <c r="K30" s="12">
        <f xml:space="preserve"> 1 - i/(1+i)*J30</f>
        <v>0.38166874578462417</v>
      </c>
      <c r="L30" s="12">
        <f>(1+i)^(-5) * C35/C30</f>
        <v>0.78093523266640619</v>
      </c>
      <c r="M30" s="12">
        <f xml:space="preserve"> (1+i)^(-10) * C40/C30</f>
        <v>0.60878949681734496</v>
      </c>
      <c r="N30" s="12">
        <f xml:space="preserve"> (1+i)^(-20) * C50/C30</f>
        <v>0.36557690102487178</v>
      </c>
      <c r="O30" s="24">
        <f t="shared" si="2"/>
        <v>41</v>
      </c>
    </row>
    <row r="31" spans="2:15" x14ac:dyDescent="0.25">
      <c r="B31" s="2">
        <v>42</v>
      </c>
      <c r="C31" s="3">
        <f>100000 * EXP(-Makeham_A*('Life Table'!$B31-$B$9) - Makeham_B/LN(Makeham_c) * (Makeham_c^'Life Table'!$B31 - Makeham_c^$B$9))</f>
        <v>99229.755584275132</v>
      </c>
      <c r="D31" s="4">
        <f xml:space="preserve"> 1 - C32/'Life Table'!$C31</f>
        <v>6.0812559738310235E-4</v>
      </c>
      <c r="E31" s="5">
        <f>1 + (1-'Life Table'!$D31) * (1+i)^(-1) * E32</f>
        <v>18.217628125514551</v>
      </c>
      <c r="F31" s="6">
        <f>(1+i)^(-1) * 'Life Table'!$D31 + (1+i)^(-1) * (1-'Life Table'!$D31) * F32</f>
        <v>0.13249389878502069</v>
      </c>
      <c r="G31" s="6">
        <f xml:space="preserve"> (1+i)^(-2) * 'Life Table'!$D31 + (1+i)^(-2) * (1-'Life Table'!$D31) * G32</f>
        <v>2.7412874494734011E-2</v>
      </c>
      <c r="H31" s="5">
        <f t="shared" si="0"/>
        <v>8.0825992430515825</v>
      </c>
      <c r="I31" s="6">
        <f xml:space="preserve"> 1 - i/(1+i)*H31</f>
        <v>0.61511432175944847</v>
      </c>
      <c r="J31" s="5">
        <f t="shared" si="1"/>
        <v>12.975395050617859</v>
      </c>
      <c r="K31" s="6">
        <f xml:space="preserve"> 1 - i/(1+i)*J31</f>
        <v>0.38212404520867338</v>
      </c>
      <c r="L31" s="6">
        <f>(1+i)^(-5) * C36/C31</f>
        <v>0.78072103759840505</v>
      </c>
      <c r="M31" s="6">
        <f xml:space="preserve"> (1+i)^(-10) * C41/C31</f>
        <v>0.60832306625417742</v>
      </c>
      <c r="N31" s="6">
        <f xml:space="preserve"> (1+i)^(-20) * C51/C31</f>
        <v>0.3643967747668328</v>
      </c>
      <c r="O31" s="7">
        <f t="shared" si="2"/>
        <v>42</v>
      </c>
    </row>
    <row r="32" spans="2:15" x14ac:dyDescent="0.25">
      <c r="B32" s="8">
        <v>43</v>
      </c>
      <c r="C32" s="9">
        <f>100000 * EXP(-Makeham_A*('Life Table'!$B32-$B$9) - Makeham_B/LN(Makeham_c) * (Makeham_c^'Life Table'!$B32 - Makeham_c^$B$9))</f>
        <v>99169.411429882268</v>
      </c>
      <c r="D32" s="10">
        <f xml:space="preserve"> 1 - C33/'Life Table'!$C32</f>
        <v>6.5624566932542816E-4</v>
      </c>
      <c r="E32" s="11">
        <f>1 + (1-'Life Table'!$D32) * (1+i)^(-1) * E33</f>
        <v>18.089510226002833</v>
      </c>
      <c r="F32" s="12">
        <f>(1+i)^(-1) * 'Life Table'!$D32 + (1+i)^(-1) * (1-'Life Table'!$D32) * F33</f>
        <v>0.13859475114272146</v>
      </c>
      <c r="G32" s="12">
        <f xml:space="preserve"> (1+i)^(-2) * 'Life Table'!$D32 + (1+i)^(-2) * (1-'Life Table'!$D32) * G33</f>
        <v>2.9632588868869034E-2</v>
      </c>
      <c r="H32" s="11">
        <f t="shared" si="0"/>
        <v>8.08038231209167</v>
      </c>
      <c r="I32" s="12">
        <f xml:space="preserve"> 1 - i/(1+i)*H32</f>
        <v>0.61521988990039667</v>
      </c>
      <c r="J32" s="11">
        <f t="shared" si="1"/>
        <v>12.964665561643471</v>
      </c>
      <c r="K32" s="12">
        <f xml:space="preserve"> 1 - i/(1+i)*J32</f>
        <v>0.38263497325507279</v>
      </c>
      <c r="L32" s="12">
        <f>(1+i)^(-5) * C37/C32</f>
        <v>0.78048035246970804</v>
      </c>
      <c r="M32" s="12">
        <f xml:space="preserve"> (1+i)^(-10) * C42/C32</f>
        <v>0.60779922486490301</v>
      </c>
      <c r="N32" s="12">
        <f xml:space="preserve"> (1+i)^(-20) * C52/C32</f>
        <v>0.36307485970707559</v>
      </c>
      <c r="O32" s="24">
        <f t="shared" si="2"/>
        <v>43</v>
      </c>
    </row>
    <row r="33" spans="2:15" x14ac:dyDescent="0.25">
      <c r="B33" s="2">
        <v>44</v>
      </c>
      <c r="C33" s="3">
        <f>100000 * EXP(-Makeham_A*('Life Table'!$B33-$B$9) - Makeham_B/LN(Makeham_c) * (Makeham_c^'Life Table'!$B33 - Makeham_c^$B$9))</f>
        <v>99104.331933101857</v>
      </c>
      <c r="D33" s="4">
        <f xml:space="preserve"> 1 - C34/'Life Table'!$C33</f>
        <v>7.1032986447805424E-4</v>
      </c>
      <c r="E33" s="5">
        <f>1 + (1-'Life Table'!$D33) * (1+i)^(-1) * E34</f>
        <v>17.955769133035936</v>
      </c>
      <c r="F33" s="6">
        <f>(1+i)^(-1) * 'Life Table'!$D33 + (1+i)^(-1) * (1-'Life Table'!$D33) * F34</f>
        <v>0.14496337461733552</v>
      </c>
      <c r="G33" s="6">
        <f xml:space="preserve"> (1+i)^(-2) * 'Life Table'!$D33 + (1+i)^(-2) * (1-'Life Table'!$D33) * G34</f>
        <v>3.20347061958118E-2</v>
      </c>
      <c r="H33" s="5">
        <f t="shared" si="0"/>
        <v>8.0778916952466862</v>
      </c>
      <c r="I33" s="6">
        <f xml:space="preserve"> 1 - i/(1+i)*H33</f>
        <v>0.61533849070253877</v>
      </c>
      <c r="J33" s="5">
        <f t="shared" si="1"/>
        <v>12.952627548152934</v>
      </c>
      <c r="K33" s="6">
        <f xml:space="preserve"> 1 - i/(1+i)*J33</f>
        <v>0.38320821199271748</v>
      </c>
      <c r="L33" s="6">
        <f>(1+i)^(-5) * C38/C33</f>
        <v>0.78020991095531389</v>
      </c>
      <c r="M33" s="6">
        <f xml:space="preserve"> (1+i)^(-10) * C43/C33</f>
        <v>0.60721096558755683</v>
      </c>
      <c r="N33" s="6">
        <f xml:space="preserve"> (1+i)^(-20) * C53/C33</f>
        <v>0.36159475063431407</v>
      </c>
      <c r="O33" s="7">
        <f t="shared" si="2"/>
        <v>44</v>
      </c>
    </row>
    <row r="34" spans="2:15" x14ac:dyDescent="0.25">
      <c r="B34" s="8">
        <v>45</v>
      </c>
      <c r="C34" s="9">
        <f>100000 * EXP(-Makeham_A*('Life Table'!$B34-$B$9) - Makeham_B/LN(Makeham_c) * (Makeham_c^'Life Table'!$B34 - Makeham_c^$B$9))</f>
        <v>99033.93516643063</v>
      </c>
      <c r="D34" s="10">
        <f xml:space="preserve"> 1 - C35/'Life Table'!$C34</f>
        <v>7.7111700588772258E-4</v>
      </c>
      <c r="E34" s="11">
        <f>1 + (1-'Life Table'!$D34) * (1+i)^(-1) * E35</f>
        <v>17.816212977837793</v>
      </c>
      <c r="F34" s="12">
        <f>(1+i)^(-1) * 'Life Table'!$D34 + (1+i)^(-1) * (1-'Life Table'!$D34) * F35</f>
        <v>0.15160890581724706</v>
      </c>
      <c r="G34" s="12">
        <f xml:space="preserve"> (1+i)^(-2) * 'Life Table'!$D34 + (1+i)^(-2) * (1-'Life Table'!$D34) * G35</f>
        <v>3.4632534239757519E-2</v>
      </c>
      <c r="H34" s="11">
        <f t="shared" si="0"/>
        <v>8.0750937741421875</v>
      </c>
      <c r="I34" s="12">
        <f xml:space="preserve"> 1 - i/(1+i)*H34</f>
        <v>0.61547172504084824</v>
      </c>
      <c r="J34" s="11">
        <f t="shared" si="1"/>
        <v>12.939124460250927</v>
      </c>
      <c r="K34" s="12">
        <f xml:space="preserve"> 1 - i/(1+i)*J34</f>
        <v>0.38385121617852735</v>
      </c>
      <c r="L34" s="12">
        <f>(1+i)^(-5) * C39/C34</f>
        <v>0.77990604655172746</v>
      </c>
      <c r="M34" s="12">
        <f xml:space="preserve"> (1+i)^(-10) * C44/C34</f>
        <v>0.60655044175592054</v>
      </c>
      <c r="N34" s="12">
        <f xml:space="preserve"> (1+i)^(-20) * C54/C34</f>
        <v>0.35993830930233484</v>
      </c>
      <c r="O34" s="24">
        <f t="shared" si="2"/>
        <v>45</v>
      </c>
    </row>
    <row r="35" spans="2:15" x14ac:dyDescent="0.25">
      <c r="B35" s="2">
        <v>46</v>
      </c>
      <c r="C35" s="3">
        <f>100000 * EXP(-Makeham_A*('Life Table'!$B35-$B$9) - Makeham_B/LN(Makeham_c) * (Makeham_c^'Life Table'!$B35 - Makeham_c^$B$9))</f>
        <v>98957.56841486381</v>
      </c>
      <c r="D35" s="4">
        <f xml:space="preserve"> 1 - C36/'Life Table'!$C35</f>
        <v>8.3943733893943051E-4</v>
      </c>
      <c r="E35" s="5">
        <f>1 + (1-'Life Table'!$D35) * (1+i)^(-1) * E36</f>
        <v>17.670649765268767</v>
      </c>
      <c r="F35" s="6">
        <f>(1+i)^(-1) * 'Life Table'!$D35 + (1+i)^(-1) * (1-'Life Table'!$D35) * F36</f>
        <v>0.15854048736815302</v>
      </c>
      <c r="G35" s="6">
        <f xml:space="preserve"> (1+i)^(-2) * 'Life Table'!$D35 + (1+i)^(-2) * (1-'Life Table'!$D35) * G36</f>
        <v>3.7440122708768203E-2</v>
      </c>
      <c r="H35" s="5">
        <f t="shared" si="0"/>
        <v>8.0719508452604831</v>
      </c>
      <c r="I35" s="6">
        <f xml:space="preserve"> 1 - i/(1+i)*H35</f>
        <v>0.61562138832092939</v>
      </c>
      <c r="J35" s="5">
        <f t="shared" si="1"/>
        <v>12.923981810188543</v>
      </c>
      <c r="K35" s="6">
        <f xml:space="preserve"> 1 - i/(1+i)*J35</f>
        <v>0.38457229475292654</v>
      </c>
      <c r="L35" s="6">
        <f>(1+i)^(-5) * C40/C35</f>
        <v>0.77956464422626814</v>
      </c>
      <c r="M35" s="6">
        <f xml:space="preserve"> (1+i)^(-10) * C45/C35</f>
        <v>0.60580887061635957</v>
      </c>
      <c r="N35" s="6">
        <f xml:space="preserve"> (1+i)^(-20) * C55/C35</f>
        <v>0.35808552528881782</v>
      </c>
      <c r="O35" s="7">
        <f t="shared" si="2"/>
        <v>46</v>
      </c>
    </row>
    <row r="36" spans="2:15" x14ac:dyDescent="0.25">
      <c r="B36" s="8">
        <v>47</v>
      </c>
      <c r="C36" s="9">
        <f>100000 * EXP(-Makeham_A*('Life Table'!$B36-$B$9) - Makeham_B/LN(Makeham_c) * (Makeham_c^'Life Table'!$B36 - Makeham_c^$B$9))</f>
        <v>98874.499736965721</v>
      </c>
      <c r="D36" s="10">
        <f xml:space="preserve"> 1 - C37/'Life Table'!$C36</f>
        <v>9.1622381726619295E-4</v>
      </c>
      <c r="E36" s="11">
        <f>1 + (1-'Life Table'!$D36) * (1+i)^(-1) * E37</f>
        <v>17.518888262476437</v>
      </c>
      <c r="F36" s="12">
        <f>(1+i)^(-1) * 'Life Table'!$D36 + (1+i)^(-1) * (1-'Life Table'!$D36) * F37</f>
        <v>0.16576722559635923</v>
      </c>
      <c r="G36" s="12">
        <f xml:space="preserve"> (1+i)^(-2) * 'Life Table'!$D36 + (1+i)^(-2) * (1-'Life Table'!$D36) * G37</f>
        <v>4.047227188368839E-2</v>
      </c>
      <c r="H36" s="11">
        <f t="shared" si="0"/>
        <v>8.0684206352181569</v>
      </c>
      <c r="I36" s="12">
        <f xml:space="preserve"> 1 - i/(1+i)*H36</f>
        <v>0.61578949356104018</v>
      </c>
      <c r="J36" s="11">
        <f t="shared" si="1"/>
        <v>12.907005324454467</v>
      </c>
      <c r="K36" s="12">
        <f xml:space="preserve"> 1 - i/(1+i)*J36</f>
        <v>0.38538069883550163</v>
      </c>
      <c r="L36" s="12">
        <f>(1+i)^(-5) * C41/C36</f>
        <v>0.77918108640373629</v>
      </c>
      <c r="M36" s="12">
        <f xml:space="preserve"> (1+i)^(-10) * C46/C36</f>
        <v>0.60497642685564534</v>
      </c>
      <c r="N36" s="12">
        <f xml:space="preserve"> (1+i)^(-20) * C56/C36</f>
        <v>0.35601437809032543</v>
      </c>
      <c r="O36" s="24">
        <f t="shared" si="2"/>
        <v>47</v>
      </c>
    </row>
    <row r="37" spans="2:15" x14ac:dyDescent="0.25">
      <c r="B37" s="2">
        <v>48</v>
      </c>
      <c r="C37" s="3">
        <f>100000 * EXP(-Makeham_A*('Life Table'!$B37-$B$9) - Makeham_B/LN(Makeham_c) * (Makeham_c^'Life Table'!$B37 - Makeham_c^$B$9))</f>
        <v>98783.908565386431</v>
      </c>
      <c r="D37" s="4">
        <f xml:space="preserve"> 1 - C38/'Life Table'!$C37</f>
        <v>1.0025247748355337E-3</v>
      </c>
      <c r="E37" s="5">
        <f>1 + (1-'Life Table'!$D37) * (1+i)^(-1) * E38</f>
        <v>17.360738998155711</v>
      </c>
      <c r="F37" s="6">
        <f>(1+i)^(-1) * 'Life Table'!$D37 + (1+i)^(-1) * (1-'Life Table'!$D37) * F38</f>
        <v>0.17329814294496518</v>
      </c>
      <c r="G37" s="6">
        <f xml:space="preserve"> (1+i)^(-2) * 'Life Table'!$D37 + (1+i)^(-2) * (1-'Life Table'!$D37) * G38</f>
        <v>4.3744535720002177E-2</v>
      </c>
      <c r="H37" s="5">
        <f t="shared" si="0"/>
        <v>8.0644557616195769</v>
      </c>
      <c r="I37" s="6">
        <f xml:space="preserve"> 1 - i/(1+i)*H37</f>
        <v>0.61597829706573448</v>
      </c>
      <c r="J37" s="5">
        <f t="shared" si="1"/>
        <v>12.887978960952482</v>
      </c>
      <c r="K37" s="6">
        <f xml:space="preserve"> 1 - i/(1+i)*J37</f>
        <v>0.38628671614511989</v>
      </c>
      <c r="L37" s="6">
        <f>(1+i)^(-5) * C42/C37</f>
        <v>0.7787501926750845</v>
      </c>
      <c r="M37" s="6">
        <f xml:space="preserve"> (1+i)^(-10) * C47/C37</f>
        <v>0.60404212540708258</v>
      </c>
      <c r="N37" s="6">
        <f xml:space="preserve"> (1+i)^(-20) * C57/C37</f>
        <v>0.353700704885543</v>
      </c>
      <c r="O37" s="7">
        <f t="shared" si="2"/>
        <v>48</v>
      </c>
    </row>
    <row r="38" spans="2:15" x14ac:dyDescent="0.25">
      <c r="B38" s="8">
        <v>49</v>
      </c>
      <c r="C38" s="9">
        <f>100000 * EXP(-Makeham_A*('Life Table'!$B38-$B$9) - Makeham_B/LN(Makeham_c) * (Makeham_c^'Life Table'!$B38 - Makeham_c^$B$9))</f>
        <v>98684.875249694538</v>
      </c>
      <c r="D38" s="10">
        <f xml:space="preserve"> 1 - C39/'Life Table'!$C38</f>
        <v>1.0995181526068931E-3</v>
      </c>
      <c r="E38" s="11">
        <f>1 + (1-'Life Table'!$D38) * (1+i)^(-1) * E39</f>
        <v>17.196015379509909</v>
      </c>
      <c r="F38" s="12">
        <f>(1+i)^(-1) * 'Life Table'!$D38 + (1+i)^(-1) * (1-'Life Table'!$D38) * F39</f>
        <v>0.18114212478524147</v>
      </c>
      <c r="G38" s="12">
        <f xml:space="preserve"> (1+i)^(-2) * 'Life Table'!$D38 + (1+i)^(-2) * (1-'Life Table'!$D38) * G39</f>
        <v>4.727321842912828E-2</v>
      </c>
      <c r="H38" s="11">
        <f t="shared" si="0"/>
        <v>8.0600031342052869</v>
      </c>
      <c r="I38" s="12">
        <f xml:space="preserve"> 1 - i/(1+i)*H38</f>
        <v>0.61619032694260545</v>
      </c>
      <c r="J38" s="11">
        <f t="shared" si="1"/>
        <v>12.86666279735373</v>
      </c>
      <c r="K38" s="12">
        <f xml:space="preserve"> 1 - i/(1+i)*J38</f>
        <v>0.38730177155458434</v>
      </c>
      <c r="L38" s="12">
        <f>(1+i)^(-5) * C43/C38</f>
        <v>0.77826615255895482</v>
      </c>
      <c r="M38" s="12">
        <f xml:space="preserve"> (1+i)^(-10) * C48/C38</f>
        <v>0.60299369283878657</v>
      </c>
      <c r="N38" s="12">
        <f xml:space="preserve"> (1+i)^(-20) * C58/C38</f>
        <v>0.35111807984068588</v>
      </c>
      <c r="O38" s="24">
        <f t="shared" si="2"/>
        <v>49</v>
      </c>
    </row>
    <row r="39" spans="2:15" x14ac:dyDescent="0.25">
      <c r="B39" s="2">
        <v>50</v>
      </c>
      <c r="C39" s="3">
        <f>100000 * EXP(-Makeham_A*('Life Table'!$B39-$B$9) - Makeham_B/LN(Makeham_c) * (Makeham_c^'Life Table'!$B39 - Makeham_c^$B$9))</f>
        <v>98576.369437969755</v>
      </c>
      <c r="D39" s="4">
        <f xml:space="preserve"> 1 - C40/'Life Table'!$C39</f>
        <v>1.2085274681203906E-3</v>
      </c>
      <c r="E39" s="5">
        <f>1 + (1-'Life Table'!$D39) * (1+i)^(-1) * E40</f>
        <v>17.024534933684681</v>
      </c>
      <c r="F39" s="6">
        <f>(1+i)^(-1) * 'Life Table'!$D39 + (1+i)^(-1) * (1-'Life Table'!$D39) * F40</f>
        <v>0.18930786030072849</v>
      </c>
      <c r="G39" s="6">
        <f xml:space="preserve"> (1+i)^(-2) * 'Life Table'!$D39 + (1+i)^(-2) * (1-'Life Table'!$D39) * G40</f>
        <v>5.1075363454776555E-2</v>
      </c>
      <c r="H39" s="5">
        <f t="shared" si="0"/>
        <v>8.0550032907337474</v>
      </c>
      <c r="I39" s="6">
        <f xml:space="preserve"> 1 - i/(1+i)*H39</f>
        <v>0.61642841472696441</v>
      </c>
      <c r="J39" s="5">
        <f t="shared" si="1"/>
        <v>12.842790802671807</v>
      </c>
      <c r="K39" s="6">
        <f xml:space="preserve"> 1 - i/(1+i)*J39</f>
        <v>0.38843853320610444</v>
      </c>
      <c r="L39" s="6">
        <f>(1+i)^(-5) * C44/C39</f>
        <v>0.77772245059224709</v>
      </c>
      <c r="M39" s="6">
        <f xml:space="preserve"> (1+i)^(-10) * C49/C39</f>
        <v>0.60181742670012228</v>
      </c>
      <c r="N39" s="6">
        <f xml:space="preserve"> (1+i)^(-20) * C59/C39</f>
        <v>0.34823771259581687</v>
      </c>
      <c r="O39" s="7">
        <f t="shared" si="2"/>
        <v>50</v>
      </c>
    </row>
    <row r="40" spans="2:15" x14ac:dyDescent="0.25">
      <c r="B40" s="8">
        <v>51</v>
      </c>
      <c r="C40" s="9">
        <f>100000 * EXP(-Makeham_A*('Life Table'!$B40-$B$9) - Makeham_B/LN(Makeham_c) * (Makeham_c^'Life Table'!$B40 - Makeham_c^$B$9))</f>
        <v>98457.237187796389</v>
      </c>
      <c r="D40" s="10">
        <f xml:space="preserve"> 1 - C41/'Life Table'!$C40</f>
        <v>1.3310397385768447E-3</v>
      </c>
      <c r="E40" s="11">
        <f>1 + (1-'Life Table'!$D40) * (1+i)^(-1) * E41</f>
        <v>16.846120679941897</v>
      </c>
      <c r="F40" s="12">
        <f>(1+i)^(-1) * 'Life Table'!$D40 + (1+i)^(-1) * (1-'Life Table'!$D40) * F41</f>
        <v>0.19780377714562297</v>
      </c>
      <c r="G40" s="12">
        <f xml:space="preserve"> (1+i)^(-2) * 'Life Table'!$D40 + (1+i)^(-2) * (1-'Life Table'!$D40) * G41</f>
        <v>5.5168733670793335E-2</v>
      </c>
      <c r="H40" s="11">
        <f t="shared" si="0"/>
        <v>8.0493896618134713</v>
      </c>
      <c r="I40" s="12">
        <f xml:space="preserve"> 1 - i/(1+i)*H40</f>
        <v>0.61669573038983472</v>
      </c>
      <c r="J40" s="11">
        <f t="shared" si="1"/>
        <v>12.816068511860903</v>
      </c>
      <c r="K40" s="12">
        <f xml:space="preserve"> 1 - i/(1+i)*J40</f>
        <v>0.38971102324471896</v>
      </c>
      <c r="L40" s="12">
        <f>(1+i)^(-5) * C45/C40</f>
        <v>0.77711178297168115</v>
      </c>
      <c r="M40" s="12">
        <f xml:space="preserve"> (1+i)^(-10) * C50/C40</f>
        <v>0.60049804232177117</v>
      </c>
      <c r="N40" s="12">
        <f xml:space="preserve"> (1+i)^(-20) * C60/C40</f>
        <v>0.34502837570297606</v>
      </c>
      <c r="O40" s="24">
        <f t="shared" si="2"/>
        <v>51</v>
      </c>
    </row>
    <row r="41" spans="2:15" x14ac:dyDescent="0.25">
      <c r="B41" s="2">
        <v>52</v>
      </c>
      <c r="C41" s="3">
        <f>100000 * EXP(-Makeham_A*('Life Table'!$B41-$B$9) - Makeham_B/LN(Makeham_c) * (Makeham_c^'Life Table'!$B41 - Makeham_c^$B$9))</f>
        <v>98326.186692548945</v>
      </c>
      <c r="D41" s="4">
        <f xml:space="preserve"> 1 - C42/'Life Table'!$C41</f>
        <v>1.4687255926131293E-3</v>
      </c>
      <c r="E41" s="5">
        <f>1 + (1-'Life Table'!$D41) * (1+i)^(-1) * E42</f>
        <v>16.66060263811897</v>
      </c>
      <c r="F41" s="6">
        <f>(1+i)^(-1) * 'Life Table'!$D41 + (1+i)^(-1) * (1-'Life Table'!$D41) * F42</f>
        <v>0.20663796961338154</v>
      </c>
      <c r="G41" s="6">
        <f xml:space="preserve"> (1+i)^(-2) * 'Life Table'!$D41 + (1+i)^(-2) * (1-'Life Table'!$D41) * G42</f>
        <v>5.9571781542003037E-2</v>
      </c>
      <c r="H41" s="5">
        <f t="shared" si="0"/>
        <v>8.04308775876979</v>
      </c>
      <c r="I41" s="6">
        <f xml:space="preserve"> 1 - i/(1+i)*H41</f>
        <v>0.6169958210109624</v>
      </c>
      <c r="J41" s="5">
        <f t="shared" si="1"/>
        <v>12.786170633159035</v>
      </c>
      <c r="K41" s="6">
        <f xml:space="preserve"> 1 - i/(1+i)*J41</f>
        <v>0.39113473175433167</v>
      </c>
      <c r="L41" s="6">
        <f>(1+i)^(-5) * C46/C41</f>
        <v>0.77642596491642002</v>
      </c>
      <c r="M41" s="6">
        <f xml:space="preserve"> (1+i)^(-10) * C51/C41</f>
        <v>0.59901850674617652</v>
      </c>
      <c r="N41" s="6">
        <f xml:space="preserve"> (1+i)^(-20) * C61/C41</f>
        <v>0.34145637332574091</v>
      </c>
      <c r="O41" s="7">
        <f t="shared" si="2"/>
        <v>52</v>
      </c>
    </row>
    <row r="42" spans="2:15" x14ac:dyDescent="0.25">
      <c r="B42" s="8">
        <v>53</v>
      </c>
      <c r="C42" s="9">
        <f>100000 * EXP(-Makeham_A*('Life Table'!$B42-$B$9) - Makeham_B/LN(Makeham_c) * (Makeham_c^'Life Table'!$B42 - Makeham_c^$B$9))</f>
        <v>98181.772505729547</v>
      </c>
      <c r="D42" s="10">
        <f xml:space="preserve"> 1 - C43/'Life Table'!$C42</f>
        <v>1.6234618333039741E-3</v>
      </c>
      <c r="E42" s="11">
        <f>1 + (1-'Life Table'!$D42) * (1+i)^(-1) * E43</f>
        <v>16.467819477946712</v>
      </c>
      <c r="F42" s="12">
        <f>(1+i)^(-1) * 'Life Table'!$D42 + (1+i)^(-1) * (1-'Life Table'!$D42) * F43</f>
        <v>0.21581812009777476</v>
      </c>
      <c r="G42" s="12">
        <f xml:space="preserve"> (1+i)^(-2) * 'Life Table'!$D42 + (1+i)^(-2) * (1-'Life Table'!$D42) * G43</f>
        <v>6.4303607912083061E-2</v>
      </c>
      <c r="H42" s="11">
        <f t="shared" si="0"/>
        <v>8.0360142786253839</v>
      </c>
      <c r="I42" s="12">
        <f xml:space="preserve"> 1 - i/(1+i)*H42</f>
        <v>0.61733265339879129</v>
      </c>
      <c r="J42" s="11">
        <f t="shared" si="1"/>
        <v>12.752738630411407</v>
      </c>
      <c r="K42" s="12">
        <f xml:space="preserve"> 1 - i/(1+i)*J42</f>
        <v>0.39272673188517115</v>
      </c>
      <c r="L42" s="12">
        <f>(1+i)^(-5) * C47/C42</f>
        <v>0.77565582787483822</v>
      </c>
      <c r="M42" s="12">
        <f xml:space="preserve"> (1+i)^(-10) * C52/C42</f>
        <v>0.59735985972633843</v>
      </c>
      <c r="N42" s="12">
        <f xml:space="preserve"> (1+i)^(-20) * C62/C42</f>
        <v>0.33748556648232214</v>
      </c>
      <c r="O42" s="24">
        <f t="shared" si="2"/>
        <v>53</v>
      </c>
    </row>
    <row r="43" spans="2:15" x14ac:dyDescent="0.25">
      <c r="B43" s="2">
        <v>54</v>
      </c>
      <c r="C43" s="3">
        <f>100000 * EXP(-Makeham_A*('Life Table'!$B43-$B$9) - Makeham_B/LN(Makeham_c) * (Makeham_c^'Life Table'!$B43 - Makeham_c^$B$9))</f>
        <v>98022.378145340364</v>
      </c>
      <c r="D43" s="4">
        <f xml:space="preserve"> 1 - C44/'Life Table'!$C43</f>
        <v>1.797356745150025E-3</v>
      </c>
      <c r="E43" s="5">
        <f>1 + (1-'Life Table'!$D43) * (1+i)^(-1) * E44</f>
        <v>16.267620312540139</v>
      </c>
      <c r="F43" s="6">
        <f>(1+i)^(-1) * 'Life Table'!$D43 + (1+i)^(-1) * (1-'Life Table'!$D43) * F44</f>
        <v>0.22535141368856401</v>
      </c>
      <c r="G43" s="6">
        <f xml:space="preserve"> (1+i)^(-2) * 'Life Table'!$D43 + (1+i)^(-2) * (1-'Life Table'!$D43) * G44</f>
        <v>6.9383908016277501E-2</v>
      </c>
      <c r="H43" s="5">
        <f t="shared" si="0"/>
        <v>8.0280761204457143</v>
      </c>
      <c r="I43" s="6">
        <f xml:space="preserve"> 1 - i/(1+i)*H43</f>
        <v>0.61771066093115645</v>
      </c>
      <c r="J43" s="5">
        <f t="shared" si="1"/>
        <v>12.715378338166449</v>
      </c>
      <c r="K43" s="6">
        <f xml:space="preserve"> 1 - i/(1+i)*J43</f>
        <v>0.39450579342064529</v>
      </c>
      <c r="L43" s="6">
        <f>(1+i)^(-5) * C48/C43</f>
        <v>0.77479110565984544</v>
      </c>
      <c r="M43" s="6">
        <f xml:space="preserve"> (1+i)^(-10) * C53/C43</f>
        <v>0.59550102209439404</v>
      </c>
      <c r="N43" s="6">
        <f xml:space="preserve"> (1+i)^(-20) * C63/C43</f>
        <v>0.33307747352538075</v>
      </c>
      <c r="O43" s="7">
        <f t="shared" si="2"/>
        <v>54</v>
      </c>
    </row>
    <row r="44" spans="2:15" x14ac:dyDescent="0.25">
      <c r="B44" s="8">
        <v>55</v>
      </c>
      <c r="C44" s="9">
        <f>100000 * EXP(-Makeham_A*('Life Table'!$B44-$B$9) - Makeham_B/LN(Makeham_c) * (Makeham_c^'Life Table'!$B44 - Makeham_c^$B$9))</f>
        <v>97846.196962805188</v>
      </c>
      <c r="D44" s="10">
        <f xml:space="preserve"> 1 - C45/'Life Table'!$C44</f>
        <v>1.9927784711717411E-3</v>
      </c>
      <c r="E44" s="11">
        <f>1 + (1-'Life Table'!$D44) * (1+i)^(-1) * E45</f>
        <v>16.059866637794798</v>
      </c>
      <c r="F44" s="12">
        <f>(1+i)^(-1) * 'Life Table'!$D44 + (1+i)^(-1) * (1-'Life Table'!$D44) * F45</f>
        <v>0.2352444458192946</v>
      </c>
      <c r="G44" s="12">
        <f xml:space="preserve"> (1+i)^(-2) * 'Life Table'!$D44 + (1+i)^(-2) * (1-'Life Table'!$D44) * G45</f>
        <v>7.4832903266240675E-2</v>
      </c>
      <c r="H44" s="11">
        <f t="shared" si="0"/>
        <v>8.0191693077128328</v>
      </c>
      <c r="I44" s="12">
        <f xml:space="preserve"> 1 - i/(1+i)*H44</f>
        <v>0.61813479487081757</v>
      </c>
      <c r="J44" s="11">
        <f t="shared" si="1"/>
        <v>12.673657686404805</v>
      </c>
      <c r="K44" s="12">
        <f xml:space="preserve"> 1 - i/(1+i)*J44</f>
        <v>0.39649249112358076</v>
      </c>
      <c r="L44" s="12">
        <f>(1+i)^(-5) * C49/C44</f>
        <v>0.77382030857130268</v>
      </c>
      <c r="M44" s="12">
        <f xml:space="preserve"> (1+i)^(-10) * C54/C44</f>
        <v>0.59341859229438354</v>
      </c>
      <c r="N44" s="12">
        <f xml:space="preserve"> (1+i)^(-20) * C64/C44</f>
        <v>0.32819146836918256</v>
      </c>
      <c r="O44" s="24">
        <f t="shared" si="2"/>
        <v>55</v>
      </c>
    </row>
    <row r="45" spans="2:15" x14ac:dyDescent="0.25">
      <c r="B45" s="2">
        <v>56</v>
      </c>
      <c r="C45" s="3">
        <f>100000 * EXP(-Makeham_A*('Life Table'!$B45-$B$9) - Makeham_B/LN(Makeham_c) * (Makeham_c^'Life Table'!$B45 - Makeham_c^$B$9))</f>
        <v>97651.21116801168</v>
      </c>
      <c r="D45" s="4">
        <f xml:space="preserve"> 1 - C46/'Life Table'!$C45</f>
        <v>2.2123868229784183E-3</v>
      </c>
      <c r="E45" s="5">
        <f>1 + (1-'Life Table'!$D45) * (1+i)^(-1) * E46</f>
        <v>15.844434417479583</v>
      </c>
      <c r="F45" s="6">
        <f>(1+i)^(-1) * 'Life Table'!$D45 + (1+i)^(-1) * (1-'Life Table'!$D45) * F46</f>
        <v>0.24550312297716193</v>
      </c>
      <c r="G45" s="6">
        <f xml:space="preserve"> (1+i)^(-2) * 'Life Table'!$D45 + (1+i)^(-2) * (1-'Life Table'!$D45) * G46</f>
        <v>8.0671257324697626E-2</v>
      </c>
      <c r="H45" s="5">
        <f t="shared" si="0"/>
        <v>8.0091778121233617</v>
      </c>
      <c r="I45" s="6">
        <f xml:space="preserve"> 1 - i/(1+i)*H45</f>
        <v>0.6186105803750781</v>
      </c>
      <c r="J45" s="5">
        <f t="shared" si="1"/>
        <v>12.627104634782114</v>
      </c>
      <c r="K45" s="6">
        <f xml:space="preserve"> 1 - i/(1+i)*J45</f>
        <v>0.3987093031056137</v>
      </c>
      <c r="L45" s="6">
        <f>(1+i)^(-5) * C50/C45</f>
        <v>0.77273058455691179</v>
      </c>
      <c r="M45" s="6">
        <f xml:space="preserve"> (1+i)^(-10) * C55/C45</f>
        <v>0.5910866325289954</v>
      </c>
      <c r="N45" s="6">
        <f xml:space="preserve"> (1+i)^(-20) * C65/C45</f>
        <v>0.32278510310896819</v>
      </c>
      <c r="O45" s="7">
        <f t="shared" si="2"/>
        <v>56</v>
      </c>
    </row>
    <row r="46" spans="2:15" x14ac:dyDescent="0.25">
      <c r="B46" s="8">
        <v>57</v>
      </c>
      <c r="C46" s="9">
        <f>100000 * EXP(-Makeham_A*('Life Table'!$B46-$B$9) - Makeham_B/LN(Makeham_c) * (Makeham_c^'Life Table'!$B46 - Makeham_c^$B$9))</f>
        <v>97435.168915175687</v>
      </c>
      <c r="D46" s="10">
        <f xml:space="preserve"> 1 - C47/'Life Table'!$C46</f>
        <v>2.4591689270032635E-3</v>
      </c>
      <c r="E46" s="11">
        <f>1 + (1-'Life Table'!$D46) * (1+i)^(-1) * E47</f>
        <v>15.621216311479976</v>
      </c>
      <c r="F46" s="12">
        <f>(1+i)^(-1) * 'Life Table'!$D46 + (1+i)^(-1) * (1-'Life Table'!$D46) * F47</f>
        <v>0.25613255659619083</v>
      </c>
      <c r="G46" s="12">
        <f xml:space="preserve"> (1+i)^(-2) * 'Life Table'!$D46 + (1+i)^(-2) * (1-'Life Table'!$D46) * G47</f>
        <v>8.691997498481073E-2</v>
      </c>
      <c r="H46" s="11">
        <f t="shared" si="0"/>
        <v>7.9979722753575233</v>
      </c>
      <c r="I46" s="12">
        <f xml:space="preserve"> 1 - i/(1+i)*H46</f>
        <v>0.61914417736392746</v>
      </c>
      <c r="J46" s="11">
        <f t="shared" si="1"/>
        <v>12.575205443605316</v>
      </c>
      <c r="K46" s="12">
        <f xml:space="preserve"> 1 - i/(1+i)*J46</f>
        <v>0.40118069316165161</v>
      </c>
      <c r="L46" s="12">
        <f>(1+i)^(-5) * C51/C46</f>
        <v>0.77150756648209096</v>
      </c>
      <c r="M46" s="12">
        <f xml:space="preserve"> (1+i)^(-10) * C56/C46</f>
        <v>0.588476446827365</v>
      </c>
      <c r="N46" s="12">
        <f xml:space="preserve"> (1+i)^(-20) * C66/C46</f>
        <v>0.31681458595461925</v>
      </c>
      <c r="O46" s="24">
        <f t="shared" si="2"/>
        <v>57</v>
      </c>
    </row>
    <row r="47" spans="2:15" x14ac:dyDescent="0.25">
      <c r="B47" s="2">
        <v>58</v>
      </c>
      <c r="C47" s="3">
        <f>100000 * EXP(-Makeham_A*('Life Table'!$B47-$B$9) - Makeham_B/LN(Makeham_c) * (Makeham_c^'Life Table'!$B47 - Makeham_c^$B$9))</f>
        <v>97195.559375382174</v>
      </c>
      <c r="D47" s="4">
        <f xml:space="preserve"> 1 - C48/'Life Table'!$C47</f>
        <v>2.7364791542021649E-3</v>
      </c>
      <c r="E47" s="5">
        <f>1 + (1-'Life Table'!$D47) * (1+i)^(-1) * E48</f>
        <v>15.390124041880494</v>
      </c>
      <c r="F47" s="6">
        <f>(1+i)^(-1) * 'Life Table'!$D47 + (1+i)^(-1) * (1-'Life Table'!$D47) * F48</f>
        <v>0.26713695038664237</v>
      </c>
      <c r="G47" s="6">
        <f xml:space="preserve"> (1+i)^(-2) * 'Life Table'!$D47 + (1+i)^(-2) * (1-'Life Table'!$D47) * G48</f>
        <v>9.3600282399786863E-2</v>
      </c>
      <c r="H47" s="5">
        <f t="shared" si="0"/>
        <v>7.9854086270592211</v>
      </c>
      <c r="I47" s="6">
        <f xml:space="preserve"> 1 - i/(1+i)*H47</f>
        <v>0.61974244633051323</v>
      </c>
      <c r="J47" s="5">
        <f t="shared" si="1"/>
        <v>12.517403440625882</v>
      </c>
      <c r="K47" s="6">
        <f xml:space="preserve"> 1 - i/(1+i)*J47</f>
        <v>0.4039331694940056</v>
      </c>
      <c r="L47" s="6">
        <f>(1+i)^(-5) * C52/C47</f>
        <v>0.77013520463450935</v>
      </c>
      <c r="M47" s="6">
        <f xml:space="preserve"> (1+i)^(-10) * C57/C47</f>
        <v>0.58555635444659304</v>
      </c>
      <c r="N47" s="6">
        <f xml:space="preserve"> (1+i)^(-20) * C67/C47</f>
        <v>0.31023544952797028</v>
      </c>
      <c r="O47" s="7">
        <f t="shared" si="2"/>
        <v>58</v>
      </c>
    </row>
    <row r="48" spans="2:15" x14ac:dyDescent="0.25">
      <c r="B48" s="8">
        <v>59</v>
      </c>
      <c r="C48" s="9">
        <f>100000 * EXP(-Makeham_A*('Life Table'!$B48-$B$9) - Makeham_B/LN(Makeham_c) * (Makeham_c^'Life Table'!$B48 - Makeham_c^$B$9))</f>
        <v>96929.585753270425</v>
      </c>
      <c r="D48" s="10">
        <f xml:space="preserve"> 1 - C49/'Life Table'!$C48</f>
        <v>3.0480838285775746E-3</v>
      </c>
      <c r="E48" s="11">
        <f>1 + (1-'Life Table'!$D48) * (1+i)^(-1) * E49</f>
        <v>15.151090888353922</v>
      </c>
      <c r="F48" s="12">
        <f>(1+i)^(-1) * 'Life Table'!$D48 + (1+i)^(-1) * (1-'Life Table'!$D48) * F49</f>
        <v>0.27851948150695532</v>
      </c>
      <c r="G48" s="12">
        <f xml:space="preserve"> (1+i)^(-2) * 'Life Table'!$D48 + (1+i)^(-2) * (1-'Life Table'!$D48) * G49</f>
        <v>0.10073348727963366</v>
      </c>
      <c r="H48" s="11">
        <f t="shared" si="0"/>
        <v>7.9713265996523903</v>
      </c>
      <c r="I48" s="12">
        <f xml:space="preserve"> 1 - i/(1+i)*H48</f>
        <v>0.6204130190641719</v>
      </c>
      <c r="J48" s="11">
        <f t="shared" si="1"/>
        <v>12.453098479054706</v>
      </c>
      <c r="K48" s="12">
        <f xml:space="preserve"> 1 - i/(1+i)*J48</f>
        <v>0.40699531052120452</v>
      </c>
      <c r="L48" s="12">
        <f>(1+i)^(-5) * C53/C48</f>
        <v>0.76859558369250991</v>
      </c>
      <c r="M48" s="12">
        <f xml:space="preserve"> (1+i)^(-10) * C58/C48</f>
        <v>0.58229146342756044</v>
      </c>
      <c r="N48" s="12">
        <f xml:space="preserve"> (1+i)^(-20) * C68/C48</f>
        <v>0.30300344809555424</v>
      </c>
      <c r="O48" s="24">
        <f t="shared" si="2"/>
        <v>59</v>
      </c>
    </row>
    <row r="49" spans="2:15" x14ac:dyDescent="0.25">
      <c r="B49" s="2">
        <v>60</v>
      </c>
      <c r="C49" s="3">
        <f>100000 * EXP(-Makeham_A*('Life Table'!$B49-$B$9) - Makeham_B/LN(Makeham_c) * (Makeham_c^'Life Table'!$B49 - Makeham_c^$B$9))</f>
        <v>96634.136250425159</v>
      </c>
      <c r="D49" s="4">
        <f xml:space="preserve"> 1 - C50/'Life Table'!$C49</f>
        <v>3.3982112619489468E-3</v>
      </c>
      <c r="E49" s="5">
        <f>1 + (1-'Life Table'!$D49) * (1+i)^(-1) * E50</f>
        <v>14.904074300627279</v>
      </c>
      <c r="F49" s="6">
        <f>(1+i)^(-1) * 'Life Table'!$D49 + (1+i)^(-1) * (1-'Life Table'!$D49) * F50</f>
        <v>0.29028217616060498</v>
      </c>
      <c r="G49" s="6">
        <f xml:space="preserve"> (1+i)^(-2) * 'Life Table'!$D49 + (1+i)^(-2) * (1-'Life Table'!$D49) * G50</f>
        <v>0.10834081779190492</v>
      </c>
      <c r="H49" s="5">
        <f t="shared" si="0"/>
        <v>7.9555481438787776</v>
      </c>
      <c r="I49" s="6">
        <f xml:space="preserve"> 1 - i/(1+i)*H49</f>
        <v>0.62116437410101066</v>
      </c>
      <c r="J49" s="5">
        <f t="shared" si="1"/>
        <v>12.381647322482582</v>
      </c>
      <c r="K49" s="6">
        <f xml:space="preserve"> 1 - i/(1+i)*J49</f>
        <v>0.41039774654844852</v>
      </c>
      <c r="L49" s="6">
        <f>(1+i)^(-5) * C54/C49</f>
        <v>0.766868723554189</v>
      </c>
      <c r="M49" s="6">
        <f xml:space="preserve"> (1+i)^(-10) * C59/C49</f>
        <v>0.57864345089717562</v>
      </c>
      <c r="N49" s="6">
        <f xml:space="preserve"> (1+i)^(-20) * C69/C49</f>
        <v>0.29507572455936704</v>
      </c>
      <c r="O49" s="7">
        <f t="shared" si="2"/>
        <v>60</v>
      </c>
    </row>
    <row r="50" spans="2:15" x14ac:dyDescent="0.25">
      <c r="B50" s="8">
        <v>61</v>
      </c>
      <c r="C50" s="9">
        <f>100000 * EXP(-Makeham_A*('Life Table'!$B50-$B$9) - Makeham_B/LN(Makeham_c) * (Makeham_c^'Life Table'!$B50 - Makeham_c^$B$9))</f>
        <v>96305.753040330252</v>
      </c>
      <c r="D50" s="10">
        <f xml:space="preserve"> 1 - C51/'Life Table'!$C50</f>
        <v>3.7916077185089492E-3</v>
      </c>
      <c r="E50" s="11">
        <f>1 + (1-'Life Table'!$D50) * (1+i)^(-1) * E51</f>
        <v>14.649058611609565</v>
      </c>
      <c r="F50" s="12">
        <f>(1+i)^(-1) * 'Life Table'!$D50 + (1+i)^(-1) * (1-'Life Table'!$D50) * F51</f>
        <v>0.30242578039954371</v>
      </c>
      <c r="G50" s="12">
        <f xml:space="preserve"> (1+i)^(-2) * 'Life Table'!$D50 + (1+i)^(-2) * (1-'Life Table'!$D50) * G51</f>
        <v>0.11644323908004586</v>
      </c>
      <c r="H50" s="11">
        <f t="shared" si="0"/>
        <v>7.9378757532955504</v>
      </c>
      <c r="I50" s="12">
        <f xml:space="preserve"> 1 - i/(1+i)*H50</f>
        <v>0.62200591650973569</v>
      </c>
      <c r="J50" s="11">
        <f t="shared" si="1"/>
        <v>12.302365235485883</v>
      </c>
      <c r="K50" s="12">
        <f xml:space="preserve"> 1 - i/(1+i)*J50</f>
        <v>0.41417308402448183</v>
      </c>
      <c r="L50" s="12">
        <f>(1+i)^(-5) * C55/C50</f>
        <v>0.76493236367488648</v>
      </c>
      <c r="M50" s="12">
        <f xml:space="preserve"> (1+i)^(-10) * C60/C50</f>
        <v>0.57457035891233754</v>
      </c>
      <c r="N50" s="12">
        <f xml:space="preserve"> (1+i)^(-20) * C70/C50</f>
        <v>0.28641228807432395</v>
      </c>
      <c r="O50" s="24">
        <f t="shared" si="2"/>
        <v>61</v>
      </c>
    </row>
    <row r="51" spans="2:15" x14ac:dyDescent="0.25">
      <c r="B51" s="2">
        <v>62</v>
      </c>
      <c r="C51" s="3">
        <f>100000 * EXP(-Makeham_A*('Life Table'!$B51-$B$9) - Makeham_B/LN(Makeham_c) * (Makeham_c^'Life Table'!$B51 - Makeham_c^$B$9))</f>
        <v>95940.599403765722</v>
      </c>
      <c r="D51" s="4">
        <f xml:space="preserve"> 1 - C52/'Life Table'!$C51</f>
        <v>4.233599972717772E-3</v>
      </c>
      <c r="E51" s="5">
        <f>1 + (1-'Life Table'!$D51) * (1+i)^(-1) * E52</f>
        <v>14.38605783009756</v>
      </c>
      <c r="F51" s="6">
        <f>(1+i)^(-1) * 'Life Table'!$D51 + (1+i)^(-1) * (1-'Life Table'!$D51) * F52</f>
        <v>0.31494962713821073</v>
      </c>
      <c r="G51" s="6">
        <f xml:space="preserve"> (1+i)^(-2) * 'Life Table'!$D51 + (1+i)^(-2) * (1-'Life Table'!$D51) * G52</f>
        <v>0.12506124655496578</v>
      </c>
      <c r="H51" s="5">
        <f t="shared" si="0"/>
        <v>7.9180907116765313</v>
      </c>
      <c r="I51" s="6">
        <f xml:space="preserve"> 1 - i/(1+i)*H51</f>
        <v>0.62294806134873659</v>
      </c>
      <c r="J51" s="5">
        <f t="shared" si="1"/>
        <v>12.214529102561444</v>
      </c>
      <c r="K51" s="6">
        <f xml:space="preserve"> 1 - i/(1+i)*J51</f>
        <v>0.41835575702088368</v>
      </c>
      <c r="L51" s="6">
        <f>(1+i)^(-5) * C56/C51</f>
        <v>0.76276173091949218</v>
      </c>
      <c r="M51" s="6">
        <f xml:space="preserve"> (1+i)^(-10) * C61/C51</f>
        <v>0.57002641734811543</v>
      </c>
      <c r="N51" s="6">
        <f xml:space="preserve"> (1+i)^(-20) * C71/C51</f>
        <v>0.27697783975210633</v>
      </c>
      <c r="O51" s="7">
        <f t="shared" si="2"/>
        <v>62</v>
      </c>
    </row>
    <row r="52" spans="2:15" x14ac:dyDescent="0.25">
      <c r="B52" s="8">
        <v>63</v>
      </c>
      <c r="C52" s="9">
        <f>100000 * EXP(-Makeham_A*('Life Table'!$B52-$B$9) - Makeham_B/LN(Makeham_c) * (Makeham_c^'Life Table'!$B52 - Makeham_c^$B$9))</f>
        <v>95534.425284747413</v>
      </c>
      <c r="D52" s="10">
        <f xml:space="preserve"> 1 - C53/'Life Table'!$C52</f>
        <v>4.7301651877018625E-3</v>
      </c>
      <c r="E52" s="11">
        <f>1 + (1-'Life Table'!$D52) * (1+i)^(-1) * E53</f>
        <v>14.115118486843246</v>
      </c>
      <c r="F52" s="12">
        <f>(1+i)^(-1) * 'Life Table'!$D52 + (1+i)^(-1) * (1-'Life Table'!$D52) * F53</f>
        <v>0.32785150062651142</v>
      </c>
      <c r="G52" s="12">
        <f xml:space="preserve"> (1+i)^(-2) * 'Life Table'!$D52 + (1+i)^(-2) * (1-'Life Table'!$D52) * G53</f>
        <v>0.13421463543103115</v>
      </c>
      <c r="H52" s="11">
        <f t="shared" si="0"/>
        <v>7.8959512846190227</v>
      </c>
      <c r="I52" s="12">
        <f xml:space="preserve"> 1 - i/(1+i)*H52</f>
        <v>0.62400231978004661</v>
      </c>
      <c r="J52" s="11">
        <f t="shared" si="1"/>
        <v>12.11738243939406</v>
      </c>
      <c r="K52" s="12">
        <f xml:space="preserve"> 1 - i/(1+i)*J52</f>
        <v>0.4229817886002829</v>
      </c>
      <c r="L52" s="12">
        <f>(1+i)^(-5) * C57/C52</f>
        <v>0.76032929143199768</v>
      </c>
      <c r="M52" s="12">
        <f xml:space="preserve"> (1+i)^(-10) * C62/C52</f>
        <v>0.56496190861724549</v>
      </c>
      <c r="N52" s="12">
        <f xml:space="preserve"> (1+i)^(-20) * C72/C52</f>
        <v>0.26674397544356537</v>
      </c>
      <c r="O52" s="24">
        <f t="shared" si="2"/>
        <v>63</v>
      </c>
    </row>
    <row r="53" spans="2:15" x14ac:dyDescent="0.25">
      <c r="B53" s="2">
        <v>64</v>
      </c>
      <c r="C53" s="3">
        <f>100000 * EXP(-Makeham_A*('Life Table'!$B53-$B$9) - Makeham_B/LN(Makeham_c) * (Makeham_c^'Life Table'!$B53 - Makeham_c^$B$9))</f>
        <v>95082.5316720384</v>
      </c>
      <c r="D53" s="4">
        <f xml:space="preserve"> 1 - C54/'Life Table'!$C53</f>
        <v>5.2880089080168391E-3</v>
      </c>
      <c r="E53" s="5">
        <f>1 + (1-'Life Table'!$D53) * (1+i)^(-1) * E54</f>
        <v>13.836322502211184</v>
      </c>
      <c r="F53" s="6">
        <f>(1+i)^(-1) * 'Life Table'!$D53 + (1+i)^(-1) * (1-'Life Table'!$D53) * F54</f>
        <v>0.34112749989470481</v>
      </c>
      <c r="G53" s="6">
        <f xml:space="preserve"> (1+i)^(-2) * 'Life Table'!$D53 + (1+i)^(-2) * (1-'Life Table'!$D53) * G54</f>
        <v>0.14392224637454673</v>
      </c>
      <c r="H53" s="5">
        <f t="shared" si="0"/>
        <v>7.8711908860128563</v>
      </c>
      <c r="I53" s="6">
        <f xml:space="preserve"> 1 - i/(1+i)*H53</f>
        <v>0.62518138638034015</v>
      </c>
      <c r="J53" s="5">
        <f t="shared" si="1"/>
        <v>12.010142694452135</v>
      </c>
      <c r="K53" s="6">
        <f xml:space="preserve"> 1 - i/(1+i)*J53</f>
        <v>0.42808844312132699</v>
      </c>
      <c r="L53" s="6">
        <f>(1+i)^(-5) * C58/C53</f>
        <v>0.75760448769442346</v>
      </c>
      <c r="M53" s="6">
        <f xml:space="preserve"> (1+i)^(-10) * C63/C53</f>
        <v>0.5593230929376708</v>
      </c>
      <c r="N53" s="6">
        <f xml:space="preserve"> (1+i)^(-20) * C73/C53</f>
        <v>0.25569177910985408</v>
      </c>
      <c r="O53" s="7">
        <f t="shared" si="2"/>
        <v>64</v>
      </c>
    </row>
    <row r="54" spans="2:15" x14ac:dyDescent="0.25">
      <c r="B54" s="8">
        <v>65</v>
      </c>
      <c r="C54" s="9">
        <f>100000 * EXP(-Makeham_A*('Life Table'!$B54-$B$9) - Makeham_B/LN(Makeham_c) * (Makeham_c^'Life Table'!$B54 - Makeham_c^$B$9))</f>
        <v>94579.734397559863</v>
      </c>
      <c r="D54" s="10">
        <f xml:space="preserve"> 1 - C55/'Life Table'!$C54</f>
        <v>5.9146520295545457E-3</v>
      </c>
      <c r="E54" s="11">
        <f>1 + (1-'Life Table'!$D54) * (1+i)^(-1) * E55</f>
        <v>13.549790037743087</v>
      </c>
      <c r="F54" s="12">
        <f>(1+i)^(-1) * 'Life Table'!$D54 + (1+i)^(-1) * (1-'Life Table'!$D54) * F55</f>
        <v>0.35477190296461419</v>
      </c>
      <c r="G54" s="12">
        <f xml:space="preserve"> (1+i)^(-2) * 'Life Table'!$D54 + (1+i)^(-2) * (1-'Life Table'!$D54) * G55</f>
        <v>0.15420168761767444</v>
      </c>
      <c r="H54" s="11">
        <f t="shared" si="0"/>
        <v>7.8435162617604179</v>
      </c>
      <c r="I54" s="12">
        <f xml:space="preserve"> 1 - i/(1+i)*H54</f>
        <v>0.62649922563045624</v>
      </c>
      <c r="J54" s="11">
        <f t="shared" si="1"/>
        <v>11.892011258710387</v>
      </c>
      <c r="K54" s="12">
        <f xml:space="preserve"> 1 - i/(1+i)*J54</f>
        <v>0.43371374958521969</v>
      </c>
      <c r="L54" s="12">
        <f>(1+i)^(-5) * C59/C54</f>
        <v>0.75455346283435587</v>
      </c>
      <c r="M54" s="12">
        <f xml:space="preserve"> (1+i)^(-10) * C64/C54</f>
        <v>0.55305221749165068</v>
      </c>
      <c r="N54" s="12">
        <f xml:space="preserve"> (1+i)^(-20) * C74/C54</f>
        <v>0.2438147955558459</v>
      </c>
      <c r="O54" s="24">
        <f t="shared" si="2"/>
        <v>65</v>
      </c>
    </row>
    <row r="55" spans="2:15" x14ac:dyDescent="0.25">
      <c r="B55" s="2">
        <v>66</v>
      </c>
      <c r="C55" s="3">
        <f>100000 * EXP(-Makeham_A*('Life Table'!$B55-$B$9) - Makeham_B/LN(Makeham_c) * (Makeham_c^'Life Table'!$B55 - Makeham_c^$B$9))</f>
        <v>94020.328179550605</v>
      </c>
      <c r="D55" s="4">
        <f xml:space="preserve"> 1 - C56/'Life Table'!$C55</f>
        <v>6.6185276792442016E-3</v>
      </c>
      <c r="E55" s="5">
        <f>1 + (1-'Life Table'!$D55) * (1+i)^(-1) * E56</f>
        <v>13.25568228777677</v>
      </c>
      <c r="F55" s="6">
        <f>(1+i)^(-1) * 'Life Table'!$D55 + (1+i)^(-1) * (1-'Life Table'!$D55) * F56</f>
        <v>0.36877703391539113</v>
      </c>
      <c r="G55" s="6">
        <f xml:space="preserve"> (1+i)^(-2) * 'Life Table'!$D55 + (1+i)^(-2) * (1-'Life Table'!$D55) * G56</f>
        <v>0.16506903446866827</v>
      </c>
      <c r="H55" s="5">
        <f t="shared" si="0"/>
        <v>7.8126057476561543</v>
      </c>
      <c r="I55" s="6">
        <f xml:space="preserve"> 1 - i/(1+i)*H55</f>
        <v>0.62797115487351651</v>
      </c>
      <c r="J55" s="5">
        <f t="shared" si="1"/>
        <v>11.762186597812292</v>
      </c>
      <c r="K55" s="6">
        <f xml:space="preserve"> 1 - i/(1+i)*J55</f>
        <v>0.43989587629465277</v>
      </c>
      <c r="L55" s="6">
        <f>(1+i)^(-5) * C60/C55</f>
        <v>0.75113877539706608</v>
      </c>
      <c r="M55" s="6">
        <f xml:space="preserve"> (1+i)^(-10) * C65/C55</f>
        <v>0.54608763816551753</v>
      </c>
      <c r="N55" s="6">
        <f xml:space="preserve"> (1+i)^(-20) * C75/C55</f>
        <v>0.23112233496365547</v>
      </c>
      <c r="O55" s="7">
        <f t="shared" si="2"/>
        <v>66</v>
      </c>
    </row>
    <row r="56" spans="2:15" x14ac:dyDescent="0.25">
      <c r="B56" s="8">
        <v>67</v>
      </c>
      <c r="C56" s="9">
        <f>100000 * EXP(-Makeham_A*('Life Table'!$B56-$B$9) - Makeham_B/LN(Makeham_c) * (Makeham_c^'Life Table'!$B56 - Makeham_c^$B$9))</f>
        <v>93398.052035082626</v>
      </c>
      <c r="D56" s="10">
        <f xml:space="preserve"> 1 - C57/'Life Table'!$C56</f>
        <v>7.4090890062679104E-3</v>
      </c>
      <c r="E56" s="11">
        <f>1 + (1-'Life Table'!$D56) * (1+i)^(-1) * E57</f>
        <v>12.954204160967555</v>
      </c>
      <c r="F56" s="12">
        <f>(1+i)^(-1) * 'Life Table'!$D56 + (1+i)^(-1) * (1-'Life Table'!$D56) * F57</f>
        <v>0.38313313519202052</v>
      </c>
      <c r="G56" s="12">
        <f xml:space="preserve"> (1+i)^(-2) * 'Life Table'!$D56 + (1+i)^(-2) * (1-'Life Table'!$D56) * G57</f>
        <v>0.17653850782294117</v>
      </c>
      <c r="H56" s="11">
        <f t="shared" si="0"/>
        <v>7.7781076760588954</v>
      </c>
      <c r="I56" s="12">
        <f xml:space="preserve"> 1 - i/(1+i)*H56</f>
        <v>0.62961392018767159</v>
      </c>
      <c r="J56" s="11">
        <f t="shared" si="1"/>
        <v>11.619880882666195</v>
      </c>
      <c r="K56" s="12">
        <f xml:space="preserve"> 1 - i/(1+i)*J56</f>
        <v>0.44667233892065739</v>
      </c>
      <c r="L56" s="12">
        <f>(1+i)^(-5) * C61/C56</f>
        <v>0.74731910928588574</v>
      </c>
      <c r="M56" s="12">
        <f xml:space="preserve"> (1+i)^(-10) * C66/C56</f>
        <v>0.5383640885929285</v>
      </c>
      <c r="N56" s="12">
        <f xml:space="preserve"> (1+i)^(-20) * C76/C56</f>
        <v>0.21764301162784552</v>
      </c>
      <c r="O56" s="24">
        <f t="shared" si="2"/>
        <v>67</v>
      </c>
    </row>
    <row r="57" spans="2:15" x14ac:dyDescent="0.25">
      <c r="B57" s="2">
        <v>68</v>
      </c>
      <c r="C57" s="3">
        <f>100000 * EXP(-Makeham_A*('Life Table'!$B57-$B$9) - Makeham_B/LN(Makeham_c) * (Makeham_c^'Life Table'!$B57 - Makeham_c^$B$9))</f>
        <v>92706.057554542655</v>
      </c>
      <c r="D57" s="4">
        <f xml:space="preserve"> 1 - C58/'Life Table'!$C57</f>
        <v>8.2969289522332179E-3</v>
      </c>
      <c r="E57" s="5">
        <f>1 + (1-'Life Table'!$D57) * (1+i)^(-1) * E58</f>
        <v>12.645606795300582</v>
      </c>
      <c r="F57" s="6">
        <f>(1+i)^(-1) * 'Life Table'!$D57 + (1+i)^(-1) * (1-'Life Table'!$D57) * F58</f>
        <v>0.39782824784282883</v>
      </c>
      <c r="G57" s="6">
        <f xml:space="preserve"> (1+i)^(-2) * 'Life Table'!$D57 + (1+i)^(-2) * (1-'Life Table'!$D57) * G58</f>
        <v>0.18862213404824035</v>
      </c>
      <c r="H57" s="5">
        <f t="shared" si="0"/>
        <v>7.7396390273141717</v>
      </c>
      <c r="I57" s="6">
        <f xml:space="preserve"> 1 - i/(1+i)*H57</f>
        <v>0.63144576060408708</v>
      </c>
      <c r="J57" s="5">
        <f t="shared" si="1"/>
        <v>11.46434040748596</v>
      </c>
      <c r="K57" s="6">
        <f xml:space="preserve"> 1 - i/(1+i)*J57</f>
        <v>0.45407902821495438</v>
      </c>
      <c r="L57" s="6">
        <f>(1+i)^(-5) * C62/C57</f>
        <v>0.74304898546418097</v>
      </c>
      <c r="M57" s="6">
        <f xml:space="preserve"> (1+i)^(-10) * C67/C57</f>
        <v>0.52981313783397077</v>
      </c>
      <c r="N57" s="6">
        <f xml:space="preserve"> (1+i)^(-20) * C77/C57</f>
        <v>0.2034283542784289</v>
      </c>
      <c r="O57" s="7">
        <f t="shared" si="2"/>
        <v>68</v>
      </c>
    </row>
    <row r="58" spans="2:15" x14ac:dyDescent="0.25">
      <c r="B58" s="8">
        <v>69</v>
      </c>
      <c r="C58" s="9">
        <f>100000 * EXP(-Makeham_A*('Life Table'!$B58-$B$9) - Makeham_B/LN(Makeham_c) * (Makeham_c^'Life Table'!$B58 - Makeham_c^$B$9))</f>
        <v>91936.881981570972</v>
      </c>
      <c r="D58" s="10">
        <f xml:space="preserve"> 1 - C59/'Life Table'!$C58</f>
        <v>9.2939131268063857E-3</v>
      </c>
      <c r="E58" s="11">
        <f>1 + (1-'Life Table'!$D58) * (1+i)^(-1) * E59</f>
        <v>12.330189844170238</v>
      </c>
      <c r="F58" s="12">
        <f>(1+i)^(-1) * 'Life Table'!$D58 + (1+i)^(-1) * (1-'Life Table'!$D58) * F59</f>
        <v>0.41284810265855942</v>
      </c>
      <c r="G58" s="12">
        <f xml:space="preserve"> (1+i)^(-2) * 'Life Table'!$D58 + (1+i)^(-2) * (1-'Life Table'!$D58) * G59</f>
        <v>0.20132938947643425</v>
      </c>
      <c r="H58" s="11">
        <f t="shared" si="0"/>
        <v>7.6967844471239895</v>
      </c>
      <c r="I58" s="12">
        <f xml:space="preserve"> 1 - i/(1+i)*H58</f>
        <v>0.63348645489885769</v>
      </c>
      <c r="J58" s="11">
        <f t="shared" si="1"/>
        <v>11.294869933213192</v>
      </c>
      <c r="K58" s="12">
        <f xml:space="preserve"> 1 - i/(1+i)*J58</f>
        <v>0.46214905079937185</v>
      </c>
      <c r="L58" s="12">
        <f>(1+i)^(-5) * C63/C58</f>
        <v>0.73827848438415178</v>
      </c>
      <c r="M58" s="12">
        <f xml:space="preserve"> (1+i)^(-10) * C68/C58</f>
        <v>0.52036388497261432</v>
      </c>
      <c r="N58" s="12">
        <f xml:space="preserve"> (1+i)^(-20) * C78/C58</f>
        <v>0.18855624579657712</v>
      </c>
      <c r="O58" s="24">
        <f t="shared" si="2"/>
        <v>69</v>
      </c>
    </row>
    <row r="59" spans="2:15" x14ac:dyDescent="0.25">
      <c r="B59" s="2">
        <v>70</v>
      </c>
      <c r="C59" s="3">
        <f>100000 * EXP(-Makeham_A*('Life Table'!$B59-$B$9) - Makeham_B/LN(Makeham_c) * (Makeham_c^'Life Table'!$B59 - Makeham_c^$B$9))</f>
        <v>91082.428587284798</v>
      </c>
      <c r="D59" s="4">
        <f xml:space="preserve"> 1 - C60/'Life Table'!$C59</f>
        <v>1.0413326963147229E-2</v>
      </c>
      <c r="E59" s="5">
        <f>1 + (1-'Life Table'!$D59) * (1+i)^(-1) * E60</f>
        <v>12.008303465588256</v>
      </c>
      <c r="F59" s="6">
        <f>(1+i)^(-1) * 'Life Table'!$D59 + (1+i)^(-1) * (1-'Life Table'!$D59) * F60</f>
        <v>0.42817602544817762</v>
      </c>
      <c r="G59" s="6">
        <f xml:space="preserve"> (1+i)^(-2) * 'Life Table'!$D59 + (1+i)^(-2) * (1-'Life Table'!$D59) * G60</f>
        <v>0.21466683367433828</v>
      </c>
      <c r="H59" s="5">
        <f t="shared" si="0"/>
        <v>7.6490957803829334</v>
      </c>
      <c r="I59" s="6">
        <f xml:space="preserve"> 1 - i/(1+i)*H59</f>
        <v>0.6357573437912889</v>
      </c>
      <c r="J59" s="5">
        <f t="shared" si="1"/>
        <v>11.110860863590503</v>
      </c>
      <c r="K59" s="6">
        <f xml:space="preserve"> 1 - i/(1+i)*J59</f>
        <v>0.47091138744807137</v>
      </c>
      <c r="L59" s="6">
        <f>(1+i)^(-5) * C64/C59</f>
        <v>0.73295299105009881</v>
      </c>
      <c r="M59" s="6">
        <f xml:space="preserve"> (1+i)^(-10) * C69/C59</f>
        <v>0.5099439457957361</v>
      </c>
      <c r="N59" s="6">
        <f xml:space="preserve"> (1+i)^(-20) * C79/C59</f>
        <v>0.1731338592745659</v>
      </c>
      <c r="O59" s="7">
        <f t="shared" si="2"/>
        <v>70</v>
      </c>
    </row>
    <row r="60" spans="2:15" x14ac:dyDescent="0.25">
      <c r="B60" s="8">
        <v>71</v>
      </c>
      <c r="C60" s="9">
        <f>100000 * EXP(-Makeham_A*('Life Table'!$B60-$B$9) - Makeham_B/LN(Makeham_c) * (Makeham_c^'Life Table'!$B60 - Makeham_c^$B$9))</f>
        <v>90133.957477807897</v>
      </c>
      <c r="D60" s="10">
        <f xml:space="preserve"> 1 - C61/'Life Table'!$C60</f>
        <v>1.1670038358202683E-2</v>
      </c>
      <c r="E60" s="11">
        <f>1 + (1-'Life Table'!$D60) * (1+i)^(-1) * E61</f>
        <v>11.680349941856194</v>
      </c>
      <c r="F60" s="12">
        <f>(1+i)^(-1) * 'Life Table'!$D60 + (1+i)^(-1) * (1-'Life Table'!$D60) * F61</f>
        <v>0.44379285991160911</v>
      </c>
      <c r="G60" s="12">
        <f xml:space="preserve"> (1+i)^(-2) * 'Life Table'!$D60 + (1+i)^(-2) * (1-'Life Table'!$D60) * G61</f>
        <v>0.22863773667087858</v>
      </c>
      <c r="H60" s="11">
        <f t="shared" si="0"/>
        <v>7.5960923053049907</v>
      </c>
      <c r="I60" s="12">
        <f xml:space="preserve"> 1 - i/(1+i)*H60</f>
        <v>0.6382813187950005</v>
      </c>
      <c r="J60" s="11">
        <f t="shared" si="1"/>
        <v>10.911822837984188</v>
      </c>
      <c r="K60" s="12">
        <f xml:space="preserve"> 1 - i/(1+i)*J60</f>
        <v>0.48038938866741965</v>
      </c>
      <c r="L60" s="12">
        <f>(1+i)^(-5) * C65/C60</f>
        <v>0.7270129782300816</v>
      </c>
      <c r="M60" s="12">
        <f xml:space="preserve"> (1+i)^(-10) * C70/C60</f>
        <v>0.49848079287713831</v>
      </c>
      <c r="N60" s="12">
        <f xml:space="preserve"> (1+i)^(-20) * C80/C60</f>
        <v>0.15729966287711061</v>
      </c>
      <c r="O60" s="24">
        <f t="shared" si="2"/>
        <v>71</v>
      </c>
    </row>
    <row r="61" spans="2:15" x14ac:dyDescent="0.25">
      <c r="B61" s="2">
        <v>72</v>
      </c>
      <c r="C61" s="3">
        <f>100000 * EXP(-Makeham_A*('Life Table'!$B61-$B$9) - Makeham_B/LN(Makeham_c) * (Makeham_c^'Life Table'!$B61 - Makeham_c^$B$9))</f>
        <v>89082.090736665268</v>
      </c>
      <c r="D61" s="4">
        <f xml:space="preserve"> 1 - C62/'Life Table'!$C61</f>
        <v>1.3080677008737385E-2</v>
      </c>
      <c r="E61" s="5">
        <f>1 + (1-'Life Table'!$D61) * (1+i)^(-1) * E62</f>
        <v>11.346784853430815</v>
      </c>
      <c r="F61" s="6">
        <f>(1+i)^(-1) * 'Life Table'!$D61 + (1+i)^(-1) * (1-'Life Table'!$D61) * F62</f>
        <v>0.45967691174138908</v>
      </c>
      <c r="G61" s="6">
        <f xml:space="preserve"> (1+i)^(-2) * 'Life Table'!$D61 + (1+i)^(-2) * (1-'Life Table'!$D61) * G62</f>
        <v>0.24324170636503561</v>
      </c>
      <c r="H61" s="5">
        <f t="shared" si="0"/>
        <v>7.5372618884452098</v>
      </c>
      <c r="I61" s="6">
        <f xml:space="preserve"> 1 - i/(1+i)*H61</f>
        <v>0.64108276721689483</v>
      </c>
      <c r="J61" s="5">
        <f t="shared" si="1"/>
        <v>10.697417903168059</v>
      </c>
      <c r="K61" s="6">
        <f xml:space="preserve"> 1 - i/(1+i)*J61</f>
        <v>0.49059914746818767</v>
      </c>
      <c r="L61" s="6">
        <f>(1+i)^(-5) * C66/C61</f>
        <v>0.72039384769295134</v>
      </c>
      <c r="M61" s="6">
        <f xml:space="preserve"> (1+i)^(-10) * C71/C61</f>
        <v>0.48590351485930483</v>
      </c>
      <c r="N61" s="6">
        <f xml:space="preserve"> (1+i)^(-20) * C81/C61</f>
        <v>0.14122398133441019</v>
      </c>
      <c r="O61" s="7">
        <f t="shared" si="2"/>
        <v>72</v>
      </c>
    </row>
    <row r="62" spans="2:15" x14ac:dyDescent="0.25">
      <c r="B62" s="8">
        <v>73</v>
      </c>
      <c r="C62" s="9">
        <f>100000 * EXP(-Makeham_A*('Life Table'!$B62-$B$9) - Makeham_B/LN(Makeham_c) * (Makeham_c^'Life Table'!$B62 - Makeham_c^$B$9))</f>
        <v>87916.836680475913</v>
      </c>
      <c r="D62" s="10">
        <f xml:space="preserve"> 1 - C63/'Life Table'!$C62</f>
        <v>1.4663831624936896E-2</v>
      </c>
      <c r="E62" s="11">
        <f>1 + (1-'Life Table'!$D62) * (1+i)^(-1) * E63</f>
        <v>11.008117728584121</v>
      </c>
      <c r="F62" s="12">
        <f>(1+i)^(-1) * 'Life Table'!$D62 + (1+i)^(-1) * (1-'Life Table'!$D62) * F63</f>
        <v>0.47580391768646979</v>
      </c>
      <c r="G62" s="12">
        <f xml:space="preserve"> (1+i)^(-2) * 'Life Table'!$D62 + (1+i)^(-2) * (1-'Life Table'!$D62) * G63</f>
        <v>0.25847432339813736</v>
      </c>
      <c r="H62" s="11">
        <f t="shared" si="0"/>
        <v>7.4720633203521007</v>
      </c>
      <c r="I62" s="12">
        <f xml:space="preserve"> 1 - i/(1+i)*H62</f>
        <v>0.64418746093561419</v>
      </c>
      <c r="J62" s="11">
        <f t="shared" si="1"/>
        <v>10.467495911840659</v>
      </c>
      <c r="K62" s="12">
        <f xml:space="preserve"> 1 - i/(1+i)*J62</f>
        <v>0.5015478137218734</v>
      </c>
      <c r="L62" s="12">
        <f>(1+i)^(-5) * C67/C62</f>
        <v>0.71302585455116085</v>
      </c>
      <c r="M62" s="12">
        <f xml:space="preserve"> (1+i)^(-10) * C72/C62</f>
        <v>0.4721450621271549</v>
      </c>
      <c r="N62" s="12">
        <f xml:space="preserve"> (1+i)^(-20) * C82/C62</f>
        <v>0.1251075477364762</v>
      </c>
      <c r="O62" s="24">
        <f t="shared" si="2"/>
        <v>73</v>
      </c>
    </row>
    <row r="63" spans="2:15" x14ac:dyDescent="0.25">
      <c r="B63" s="2">
        <v>74</v>
      </c>
      <c r="C63" s="3">
        <f>100000 * EXP(-Makeham_A*('Life Table'!$B63-$B$9) - Makeham_B/LN(Makeham_c) * (Makeham_c^'Life Table'!$B63 - Makeham_c^$B$9))</f>
        <v>86627.638990396343</v>
      </c>
      <c r="D63" s="4">
        <f xml:space="preserve"> 1 - C64/'Life Table'!$C63</f>
        <v>1.6440266126718117E-2</v>
      </c>
      <c r="E63" s="5">
        <f>1 + (1-'Life Table'!$D63) * (1+i)^(-1) * E64</f>
        <v>10.664912090198756</v>
      </c>
      <c r="F63" s="6">
        <f>(1+i)^(-1) * 'Life Table'!$D63 + (1+i)^(-1) * (1-'Life Table'!$D63) * F64</f>
        <v>0.49214704332386811</v>
      </c>
      <c r="G63" s="6">
        <f xml:space="preserve"> (1+i)^(-2) * 'Life Table'!$D63 + (1+i)^(-2) * (1-'Life Table'!$D63) * G64</f>
        <v>0.27432679180677316</v>
      </c>
      <c r="H63" s="5">
        <f t="shared" si="0"/>
        <v>7.3999301310816978</v>
      </c>
      <c r="I63" s="6">
        <f xml:space="preserve"> 1 - i/(1+i)*H63</f>
        <v>0.6476223747103953</v>
      </c>
      <c r="J63" s="5">
        <f t="shared" si="1"/>
        <v>10.22212921420139</v>
      </c>
      <c r="K63" s="6">
        <f xml:space="preserve"> 1 - i/(1+i)*J63</f>
        <v>0.51323194218088619</v>
      </c>
      <c r="L63" s="6">
        <f>(1+i)^(-5) * C68/C63</f>
        <v>0.70483414589372062</v>
      </c>
      <c r="M63" s="6">
        <f xml:space="preserve"> (1+i)^(-10) * C73/C63</f>
        <v>0.45714504253152227</v>
      </c>
      <c r="N63" s="6">
        <f xml:space="preserve"> (1+i)^(-20) * C83/C63</f>
        <v>0.10917748347160168</v>
      </c>
      <c r="O63" s="7">
        <f t="shared" si="2"/>
        <v>74</v>
      </c>
    </row>
    <row r="64" spans="2:15" x14ac:dyDescent="0.25">
      <c r="B64" s="8">
        <v>75</v>
      </c>
      <c r="C64" s="9">
        <f>100000 * EXP(-Makeham_A*('Life Table'!$B64-$B$9) - Makeham_B/LN(Makeham_c) * (Makeham_c^'Life Table'!$B64 - Makeham_c^$B$9))</f>
        <v>85203.457551464962</v>
      </c>
      <c r="D64" s="10">
        <f xml:space="preserve"> 1 - C65/'Life Table'!$C64</f>
        <v>1.8433155787278777E-2</v>
      </c>
      <c r="E64" s="11">
        <f>1 + (1-'Life Table'!$D64) * (1+i)^(-1) * E65</f>
        <v>10.317784823037647</v>
      </c>
      <c r="F64" s="12">
        <f>(1+i)^(-1) * 'Life Table'!$D64 + (1+i)^(-1) * (1-'Life Table'!$D64) * F65</f>
        <v>0.50867691318868291</v>
      </c>
      <c r="G64" s="12">
        <f xml:space="preserve"> (1+i)^(-2) * 'Life Table'!$D64 + (1+i)^(-2) * (1-'Life Table'!$D64) * G65</f>
        <v>0.2907856147322691</v>
      </c>
      <c r="H64" s="11">
        <f t="shared" si="0"/>
        <v>7.3202762214963677</v>
      </c>
      <c r="I64" s="12">
        <f xml:space="preserve"> 1 - i/(1+i)*H64</f>
        <v>0.65141541802398251</v>
      </c>
      <c r="J64" s="11">
        <f t="shared" si="1"/>
        <v>9.9616441128312427</v>
      </c>
      <c r="K64" s="12">
        <f xml:space="preserve"> 1 - i/(1+i)*J64</f>
        <v>0.52563599462708366</v>
      </c>
      <c r="L64" s="12">
        <f>(1+i)^(-5) * C69/C64</f>
        <v>0.69573895191442148</v>
      </c>
      <c r="M64" s="12">
        <f xml:space="preserve"> (1+i)^(-10) * C74/C64</f>
        <v>0.44085311991272635</v>
      </c>
      <c r="N64" s="12">
        <f xml:space="preserve"> (1+i)^(-20) * C84/C64</f>
        <v>9.3680239913537827E-2</v>
      </c>
      <c r="O64" s="24">
        <f t="shared" si="2"/>
        <v>75</v>
      </c>
    </row>
    <row r="65" spans="2:15" x14ac:dyDescent="0.25">
      <c r="B65" s="2">
        <v>76</v>
      </c>
      <c r="C65" s="3">
        <f>100000 * EXP(-Makeham_A*('Life Table'!$B65-$B$9) - Makeham_B/LN(Makeham_c) * (Makeham_c^'Life Table'!$B65 - Makeham_c^$B$9))</f>
        <v>83632.888944804014</v>
      </c>
      <c r="D65" s="4">
        <f xml:space="preserve"> 1 - C66/'Life Table'!$C65</f>
        <v>2.0668344063542676E-2</v>
      </c>
      <c r="E65" s="5">
        <f>1 + (1-'Life Table'!$D65) * (1+i)^(-1) * E66</f>
        <v>9.9674047894686737</v>
      </c>
      <c r="F65" s="6">
        <f>(1+i)^(-1) * 'Life Table'!$D65 + (1+i)^(-1) * (1-'Life Table'!$D65) * F66</f>
        <v>0.52536167669196732</v>
      </c>
      <c r="G65" s="6">
        <f xml:space="preserve"> (1+i)^(-2) * 'Life Table'!$D65 + (1+i)^(-2) * (1-'Life Table'!$D65) * G66</f>
        <v>0.30783230529490607</v>
      </c>
      <c r="H65" s="5">
        <f t="shared" si="0"/>
        <v>7.2325036754613956</v>
      </c>
      <c r="I65" s="6">
        <f xml:space="preserve"> 1 - i/(1+i)*H65</f>
        <v>0.65559506307326687</v>
      </c>
      <c r="J65" s="5">
        <f t="shared" si="1"/>
        <v>9.686646025628658</v>
      </c>
      <c r="K65" s="6">
        <f xml:space="preserve"> 1 - i/(1+i)*J65</f>
        <v>0.53873114163673064</v>
      </c>
      <c r="L65" s="6">
        <f>(1+i)^(-5) * C70/C65</f>
        <v>0.68565597562053626</v>
      </c>
      <c r="M65" s="6">
        <f xml:space="preserve"> (1+i)^(-10) * C75/C65</f>
        <v>0.42323304687882907</v>
      </c>
      <c r="N65" s="6">
        <f xml:space="preserve"> (1+i)^(-20) * C85/C65</f>
        <v>7.8871256264526082E-2</v>
      </c>
      <c r="O65" s="7">
        <f t="shared" si="2"/>
        <v>76</v>
      </c>
    </row>
    <row r="66" spans="2:15" x14ac:dyDescent="0.25">
      <c r="B66" s="8">
        <v>77</v>
      </c>
      <c r="C66" s="9">
        <f>100000 * EXP(-Makeham_A*('Life Table'!$B66-$B$9) - Makeham_B/LN(Makeham_c) * (Makeham_c^'Life Table'!$B66 - Makeham_c^$B$9))</f>
        <v>81904.335621064747</v>
      </c>
      <c r="D66" s="10">
        <f xml:space="preserve"> 1 - C67/'Life Table'!$C66</f>
        <v>2.3174620518370825E-2</v>
      </c>
      <c r="E66" s="11">
        <f>1 + (1-'Life Table'!$D66) * (1+i)^(-1) * E67</f>
        <v>9.6144906292634325</v>
      </c>
      <c r="F66" s="12">
        <f>(1+i)^(-1) * 'Life Table'!$D66 + (1+i)^(-1) * (1-'Life Table'!$D66) * F67</f>
        <v>0.54216711289221697</v>
      </c>
      <c r="G66" s="12">
        <f xml:space="preserve"> (1+i)^(-2) * 'Life Table'!$D66 + (1+i)^(-2) * (1-'Life Table'!$D66) * G67</f>
        <v>0.32544314338468683</v>
      </c>
      <c r="H66" s="11">
        <f t="shared" si="0"/>
        <v>7.1360131331348278</v>
      </c>
      <c r="I66" s="12">
        <f xml:space="preserve"> 1 - i/(1+i)*H66</f>
        <v>0.66018985080310344</v>
      </c>
      <c r="J66" s="11">
        <f t="shared" si="1"/>
        <v>9.39803496619027</v>
      </c>
      <c r="K66" s="12">
        <f xml:space="preserve"> 1 - i/(1+i)*J66</f>
        <v>0.55247452541951092</v>
      </c>
      <c r="L66" s="12">
        <f>(1+i)^(-5) * C71/C66</f>
        <v>0.67449703577480891</v>
      </c>
      <c r="M66" s="12">
        <f xml:space="preserve"> (1+i)^(-10) * C76/C66</f>
        <v>0.40426732807657834</v>
      </c>
      <c r="N66" s="12">
        <f xml:space="preserve"> (1+i)^(-20) * C86/C66</f>
        <v>6.5001457857087427E-2</v>
      </c>
      <c r="O66" s="24">
        <f t="shared" si="2"/>
        <v>77</v>
      </c>
    </row>
    <row r="67" spans="2:15" x14ac:dyDescent="0.25">
      <c r="B67" s="2">
        <v>78</v>
      </c>
      <c r="C67" s="3">
        <f>100000 * EXP(-Makeham_A*('Life Table'!$B67-$B$9) - Makeham_B/LN(Makeham_c) * (Makeham_c^'Life Table'!$B67 - Makeham_c^$B$9))</f>
        <v>80006.233724237289</v>
      </c>
      <c r="D67" s="4">
        <f xml:space="preserve"> 1 - C68/'Life Table'!$C67</f>
        <v>2.5984019763202748E-2</v>
      </c>
      <c r="E67" s="5">
        <f>1 + (1-'Life Table'!$D67) * (1+i)^(-1) * E68</f>
        <v>9.2598076900158119</v>
      </c>
      <c r="F67" s="6">
        <f>(1+i)^(-1) * 'Life Table'!$D67 + (1+i)^(-1) * (1-'Life Table'!$D67) * F68</f>
        <v>0.55905677666591314</v>
      </c>
      <c r="G67" s="6">
        <f xml:space="preserve"> (1+i)^(-2) * 'Life Table'!$D67 + (1+i)^(-2) * (1-'Life Table'!$D67) * G68</f>
        <v>0.34358898950941769</v>
      </c>
      <c r="H67" s="5">
        <f t="shared" si="0"/>
        <v>7.030217097672292</v>
      </c>
      <c r="I67" s="6">
        <f xml:space="preserve"> 1 - i/(1+i)*H67</f>
        <v>0.66522775725370042</v>
      </c>
      <c r="J67" s="5">
        <f t="shared" si="1"/>
        <v>9.097007952399176</v>
      </c>
      <c r="K67" s="6">
        <f xml:space="preserve"> 1 - i/(1+i)*J67</f>
        <v>0.56680914512384883</v>
      </c>
      <c r="L67" s="6">
        <f>(1+i)^(-5) * C72/C67</f>
        <v>0.66217102663740446</v>
      </c>
      <c r="M67" s="6">
        <f xml:space="preserve"> (1+i)^(-10) * C77/C67</f>
        <v>0.38396245723558842</v>
      </c>
      <c r="N67" s="6">
        <f xml:space="preserve"> (1+i)^(-20) * C87/C67</f>
        <v>5.2301238597327063E-2</v>
      </c>
      <c r="O67" s="7">
        <f t="shared" si="2"/>
        <v>78</v>
      </c>
    </row>
    <row r="68" spans="2:15" x14ac:dyDescent="0.25">
      <c r="B68" s="8">
        <v>79</v>
      </c>
      <c r="C68" s="9">
        <f>100000 * EXP(-Makeham_A*('Life Table'!$B68-$B$9) - Makeham_B/LN(Makeham_c) * (Makeham_c^'Life Table'!$B68 - Makeham_c^$B$9))</f>
        <v>77927.350165967291</v>
      </c>
      <c r="D68" s="10">
        <f xml:space="preserve"> 1 - C69/'Life Table'!$C68</f>
        <v>2.9132140693127528E-2</v>
      </c>
      <c r="E68" s="11">
        <f>1 + (1-'Life Table'!$D68) * (1+i)^(-1) * E69</f>
        <v>8.9041640491443701</v>
      </c>
      <c r="F68" s="12">
        <f>(1+i)^(-1) * 'Life Table'!$D68 + (1+i)^(-1) * (1-'Life Table'!$D68) * F69</f>
        <v>0.57599218813598196</v>
      </c>
      <c r="G68" s="12">
        <f xml:space="preserve"> (1+i)^(-2) * 'Life Table'!$D68 + (1+i)^(-2) * (1-'Life Table'!$D68) * G69</f>
        <v>0.36223516690676261</v>
      </c>
      <c r="H68" s="11">
        <f t="shared" si="0"/>
        <v>6.9145565055471963</v>
      </c>
      <c r="I68" s="12">
        <f xml:space="preserve"> 1 - i/(1+i)*H68</f>
        <v>0.6707354044977526</v>
      </c>
      <c r="J68" s="11">
        <f t="shared" si="1"/>
        <v>8.7850454450101072</v>
      </c>
      <c r="K68" s="12">
        <f xml:space="preserve"> 1 - i/(1+i)*J68</f>
        <v>0.58166450261856628</v>
      </c>
      <c r="L68" s="12">
        <f>(1+i)^(-5) * C73/C68</f>
        <v>0.64858526675359651</v>
      </c>
      <c r="M68" s="12">
        <f xml:space="preserve"> (1+i)^(-10) * C78/C68</f>
        <v>0.36235459693076216</v>
      </c>
      <c r="N68" s="12">
        <f xml:space="preserve"> (1+i)^(-20) * C88/C68</f>
        <v>4.096319958301934E-2</v>
      </c>
      <c r="O68" s="24">
        <f t="shared" si="2"/>
        <v>79</v>
      </c>
    </row>
    <row r="69" spans="2:15" x14ac:dyDescent="0.25">
      <c r="B69" s="2">
        <v>80</v>
      </c>
      <c r="C69" s="3">
        <f>100000 * EXP(-Makeham_A*('Life Table'!$B69-$B$9) - Makeham_B/LN(Makeham_c) * (Makeham_c^'Life Table'!$B69 - Makeham_c^$B$9))</f>
        <v>75657.159637089717</v>
      </c>
      <c r="D69" s="4">
        <f xml:space="preserve"> 1 - C70/'Life Table'!$C69</f>
        <v>3.2658484402023236E-2</v>
      </c>
      <c r="E69" s="5">
        <f>1 + (1-'Life Table'!$D69) * (1+i)^(-1) * E70</f>
        <v>8.5484056064300304</v>
      </c>
      <c r="F69" s="6">
        <f>(1+i)^(-1) * 'Life Table'!$D69 + (1+i)^(-1) * (1-'Life Table'!$D69) * F70</f>
        <v>0.59293306636047438</v>
      </c>
      <c r="G69" s="6">
        <f xml:space="preserve"> (1+i)^(-2) * 'Life Table'!$D69 + (1+i)^(-2) * (1-'Life Table'!$D69) * G70</f>
        <v>0.38134142280278643</v>
      </c>
      <c r="H69" s="5">
        <f t="shared" si="0"/>
        <v>6.7885208006650561</v>
      </c>
      <c r="I69" s="6">
        <f xml:space="preserve"> 1 - i/(1+i)*H69</f>
        <v>0.67673710473023552</v>
      </c>
      <c r="J69" s="5">
        <f t="shared" si="1"/>
        <v>8.4638800203864335</v>
      </c>
      <c r="K69" s="6">
        <f xml:space="preserve"> 1 - i/(1+i)*J69</f>
        <v>0.59695809426731272</v>
      </c>
      <c r="L69" s="6">
        <f>(1+i)^(-5) * C74/C69</f>
        <v>0.63364731656846052</v>
      </c>
      <c r="M69" s="6">
        <f xml:space="preserve"> (1+i)^(-10) * C79/C69</f>
        <v>0.33951547165522517</v>
      </c>
      <c r="N69" s="6">
        <f xml:space="preserve"> (1+i)^(-20) * C89/C69</f>
        <v>3.1125556449377017E-2</v>
      </c>
      <c r="O69" s="7">
        <f t="shared" si="2"/>
        <v>80</v>
      </c>
    </row>
    <row r="70" spans="2:15" x14ac:dyDescent="0.25">
      <c r="B70" s="8">
        <v>81</v>
      </c>
      <c r="C70" s="9">
        <f>100000 * EXP(-Makeham_A*('Life Table'!$B70-$B$9) - Makeham_B/LN(Makeham_c) * (Makeham_c^'Life Table'!$B70 - Makeham_c^$B$9))</f>
        <v>73186.311469180437</v>
      </c>
      <c r="D70" s="10">
        <f xml:space="preserve"> 1 - C71/'Life Table'!$C70</f>
        <v>3.6606807996160118E-2</v>
      </c>
      <c r="E70" s="11">
        <f>1 + (1-'Life Table'!$D70) * (1+i)^(-1) * E71</f>
        <v>8.1934102475195267</v>
      </c>
      <c r="F70" s="12">
        <f>(1+i)^(-1) * 'Life Table'!$D70 + (1+i)^(-1) * (1-'Life Table'!$D70) * F71</f>
        <v>0.60983760726097469</v>
      </c>
      <c r="G70" s="12">
        <f xml:space="preserve"> (1+i)^(-2) * 'Life Table'!$D70 + (1+i)^(-2) * (1-'Life Table'!$D70) * G71</f>
        <v>0.40086197892410597</v>
      </c>
      <c r="H70" s="11">
        <f t="shared" si="0"/>
        <v>6.6516715991029809</v>
      </c>
      <c r="I70" s="12">
        <f xml:space="preserve"> 1 - i/(1+i)*H70</f>
        <v>0.68325373337604856</v>
      </c>
      <c r="J70" s="11">
        <f t="shared" si="1"/>
        <v>8.1354472322143572</v>
      </c>
      <c r="K70" s="12">
        <f xml:space="preserve"> 1 - i/(1+i)*J70</f>
        <v>0.61259775084693535</v>
      </c>
      <c r="L70" s="12">
        <f>(1+i)^(-5) * C75/C70</f>
        <v>0.6172673497022938</v>
      </c>
      <c r="M70" s="12">
        <f xml:space="preserve"> (1+i)^(-10) * C80/C70</f>
        <v>0.31555812204760436</v>
      </c>
      <c r="N70" s="12">
        <f xml:space="preserve"> (1+i)^(-20) * C90/C70</f>
        <v>2.2858622761430351E-2</v>
      </c>
      <c r="O70" s="24">
        <f t="shared" si="2"/>
        <v>81</v>
      </c>
    </row>
    <row r="71" spans="2:15" x14ac:dyDescent="0.25">
      <c r="B71" s="2">
        <v>82</v>
      </c>
      <c r="C71" s="3">
        <f>100000 * EXP(-Makeham_A*('Life Table'!$B71-$B$9) - Makeham_B/LN(Makeham_c) * (Makeham_c^'Life Table'!$B71 - Makeham_c^$B$9))</f>
        <v>70507.19421728098</v>
      </c>
      <c r="D71" s="4">
        <f xml:space="preserve"> 1 - C72/'Life Table'!$C71</f>
        <v>4.1025490002634779E-2</v>
      </c>
      <c r="E71" s="5">
        <f>1 + (1-'Life Table'!$D71) * (1+i)^(-1) * E72</f>
        <v>7.840081103526626</v>
      </c>
      <c r="F71" s="6">
        <f>(1+i)^(-1) * 'Life Table'!$D71 + (1+i)^(-1) * (1-'Life Table'!$D71) * F72</f>
        <v>0.62666280459396995</v>
      </c>
      <c r="G71" s="6">
        <f xml:space="preserve"> (1+i)^(-2) * 'Life Table'!$D71 + (1+i)^(-2) * (1-'Life Table'!$D71) * G72</f>
        <v>0.4207456800940847</v>
      </c>
      <c r="H71" s="5">
        <f t="shared" si="0"/>
        <v>6.503669798803335</v>
      </c>
      <c r="I71" s="6">
        <f xml:space="preserve"> 1 - i/(1+i)*H71</f>
        <v>0.69030143815222211</v>
      </c>
      <c r="J71" s="5">
        <f t="shared" si="1"/>
        <v>7.8018209077136795</v>
      </c>
      <c r="K71" s="6">
        <f xml:space="preserve"> 1 - i/(1+i)*J71</f>
        <v>0.62848471868030098</v>
      </c>
      <c r="L71" s="6">
        <f>(1+i)^(-5) * C76/C71</f>
        <v>0.59936116340702361</v>
      </c>
      <c r="M71" s="6">
        <f xml:space="preserve"> (1+i)^(-10) * C81/C71</f>
        <v>0.29064202463178745</v>
      </c>
      <c r="N71" s="6">
        <f xml:space="preserve"> (1+i)^(-20) * C91/C71</f>
        <v>1.6156923948758044E-2</v>
      </c>
      <c r="O71" s="7">
        <f t="shared" si="2"/>
        <v>82</v>
      </c>
    </row>
    <row r="72" spans="2:15" x14ac:dyDescent="0.25">
      <c r="B72" s="8">
        <v>83</v>
      </c>
      <c r="C72" s="9">
        <f>100000 * EXP(-Makeham_A*('Life Table'!$B72-$B$9) - Makeham_B/LN(Makeham_c) * (Makeham_c^'Life Table'!$B72 - Makeham_c^$B$9))</f>
        <v>67614.602025806089</v>
      </c>
      <c r="D72" s="10">
        <f xml:space="preserve"> 1 - C73/'Life Table'!$C72</f>
        <v>4.5967901114349563E-2</v>
      </c>
      <c r="E72" s="11">
        <f>1 + (1-'Life Table'!$D72) * (1+i)^(-1) * E73</f>
        <v>7.4893389593042361</v>
      </c>
      <c r="F72" s="12">
        <f>(1+i)^(-1) * 'Life Table'!$D72 + (1+i)^(-1) * (1-'Life Table'!$D72) * F73</f>
        <v>0.64336481146170277</v>
      </c>
      <c r="G72" s="12">
        <f xml:space="preserve"> (1+i)^(-2) * 'Life Table'!$D72 + (1+i)^(-2) * (1-'Life Table'!$D72) * G73</f>
        <v>0.44093624793244546</v>
      </c>
      <c r="H72" s="11">
        <f t="shared" si="0"/>
        <v>6.3443056631647003</v>
      </c>
      <c r="I72" s="12">
        <f xml:space="preserve"> 1 - i/(1+i)*H72</f>
        <v>0.69789020651596667</v>
      </c>
      <c r="J72" s="11">
        <f t="shared" si="1"/>
        <v>7.4651376534139873</v>
      </c>
      <c r="K72" s="12">
        <f xml:space="preserve"> 1 - i/(1+i)*J72</f>
        <v>0.64451725459933396</v>
      </c>
      <c r="L72" s="12">
        <f>(1+i)^(-5) * C77/C72</f>
        <v>0.57985390750997134</v>
      </c>
      <c r="M72" s="12">
        <f xml:space="preserve"> (1+i)^(-10) * C82/C72</f>
        <v>0.26497692716054094</v>
      </c>
      <c r="N72" s="12">
        <f xml:space="preserve"> (1+i)^(-20) * C92/C72</f>
        <v>1.0939099432140199E-2</v>
      </c>
      <c r="O72" s="24">
        <f t="shared" si="2"/>
        <v>83</v>
      </c>
    </row>
    <row r="73" spans="2:15" x14ac:dyDescent="0.25">
      <c r="B73" s="2">
        <v>84</v>
      </c>
      <c r="C73" s="3">
        <f>100000 * EXP(-Makeham_A*('Life Table'!$B73-$B$9) - Makeham_B/LN(Makeham_c) * (Makeham_c^'Life Table'!$B73 - Makeham_c^$B$9))</f>
        <v>64506.500685997737</v>
      </c>
      <c r="D73" s="4">
        <f xml:space="preserve"> 1 - C74/'Life Table'!$C73</f>
        <v>5.1492771533953485E-2</v>
      </c>
      <c r="E73" s="5">
        <f>1 + (1-'Life Table'!$D73) * (1+i)^(-1) * E74</f>
        <v>7.1421138924238088</v>
      </c>
      <c r="F73" s="6">
        <f>(1+i)^(-1) * 'Life Table'!$D73 + (1+i)^(-1) * (1-'Life Table'!$D73) * F74</f>
        <v>0.6598993384560089</v>
      </c>
      <c r="G73" s="6">
        <f xml:space="preserve"> (1+i)^(-2) * 'Life Table'!$D73 + (1+i)^(-2) * (1-'Life Table'!$D73) * G74</f>
        <v>0.4613726443222424</v>
      </c>
      <c r="H73" s="5">
        <f t="shared" si="0"/>
        <v>6.1735309815266968</v>
      </c>
      <c r="I73" s="6">
        <f xml:space="preserve"> 1 - i/(1+i)*H73</f>
        <v>0.70602233421301452</v>
      </c>
      <c r="J73" s="5">
        <f t="shared" si="1"/>
        <v>7.1275176154250799</v>
      </c>
      <c r="K73" s="6">
        <f xml:space="preserve"> 1 - i/(1+i)*J73</f>
        <v>0.66059439926547237</v>
      </c>
      <c r="L73" s="6">
        <f>(1+i)^(-5) * C78/C73</f>
        <v>0.55868459477113575</v>
      </c>
      <c r="M73" s="6">
        <f xml:space="preserve"> (1+i)^(-10) * C83/C73</f>
        <v>0.2388246033841073</v>
      </c>
      <c r="N73" s="6">
        <f xml:space="preserve"> (1+i)^(-20) * C93/C73</f>
        <v>7.0567006920884932E-3</v>
      </c>
      <c r="O73" s="7">
        <f t="shared" si="2"/>
        <v>84</v>
      </c>
    </row>
    <row r="74" spans="2:15" x14ac:dyDescent="0.25">
      <c r="B74" s="8">
        <v>85</v>
      </c>
      <c r="C74" s="9">
        <f>100000 * EXP(-Makeham_A*('Life Table'!$B74-$B$9) - Makeham_B/LN(Makeham_c) * (Makeham_c^'Life Table'!$B74 - Makeham_c^$B$9))</f>
        <v>61184.882183718844</v>
      </c>
      <c r="D74" s="10">
        <f xml:space="preserve"> 1 - C75/'Life Table'!$C74</f>
        <v>5.7664543071334062E-2</v>
      </c>
      <c r="E74" s="11">
        <f>1 + (1-'Life Table'!$D74) * (1+i)^(-1) * E75</f>
        <v>6.7993362554282957</v>
      </c>
      <c r="F74" s="12">
        <f>(1+i)^(-1) * 'Life Table'!$D74 + (1+i)^(-1) * (1-'Life Table'!$D74) * F75</f>
        <v>0.67622208307484288</v>
      </c>
      <c r="G74" s="12">
        <f xml:space="preserve"> (1+i)^(-2) * 'Life Table'!$D74 + (1+i)^(-2) * (1-'Life Table'!$D74) * G75</f>
        <v>0.48198954642725106</v>
      </c>
      <c r="H74" s="11">
        <f t="shared" ref="H74:H119" si="3">E74 - M74*E84</f>
        <v>5.9914918870434075</v>
      </c>
      <c r="I74" s="12">
        <f xml:space="preserve"> 1 - i/(1+i)*H74</f>
        <v>0.71469086252174252</v>
      </c>
      <c r="J74" s="11">
        <f t="shared" ref="J74:J109" si="4" xml:space="preserve"> E74 - N74*E94</f>
        <v>6.7909899245998258</v>
      </c>
      <c r="K74" s="12">
        <f xml:space="preserve"> 1 - i/(1+i)*J74</f>
        <v>0.6766195274000083</v>
      </c>
      <c r="L74" s="12">
        <f>(1+i)^(-5) * C79/C74</f>
        <v>0.53581142502722678</v>
      </c>
      <c r="M74" s="12">
        <f xml:space="preserve"> (1+i)^(-10) * C84/C74</f>
        <v>0.21249762263695282</v>
      </c>
      <c r="N74" s="12">
        <f xml:space="preserve"> (1+i)^(-20) * C94/C74</f>
        <v>4.3113642933723384E-3</v>
      </c>
      <c r="O74" s="24">
        <f t="shared" ref="O74:O129" si="5">B74</f>
        <v>85</v>
      </c>
    </row>
    <row r="75" spans="2:15" x14ac:dyDescent="0.25">
      <c r="B75" s="2">
        <v>86</v>
      </c>
      <c r="C75" s="3">
        <f>100000 * EXP(-Makeham_A*('Life Table'!$B75-$B$9) - Makeham_B/LN(Makeham_c) * (Makeham_c^'Life Table'!$B75 - Makeham_c^$B$9))</f>
        <v>57656.683909721287</v>
      </c>
      <c r="D75" s="4">
        <f xml:space="preserve"> 1 - C76/'Life Table'!$C75</f>
        <v>6.4553690299161692E-2</v>
      </c>
      <c r="E75" s="5">
        <f>1 + (1-'Life Table'!$D75) * (1+i)^(-1) * E76</f>
        <v>6.4619271443382251</v>
      </c>
      <c r="F75" s="6">
        <f>(1+i)^(-1) * 'Life Table'!$D75 + (1+i)^(-1) * (1-'Life Table'!$D75) * F76</f>
        <v>0.69228918360294145</v>
      </c>
      <c r="G75" s="6">
        <f xml:space="preserve"> (1+i)^(-2) * 'Life Table'!$D75 + (1+i)^(-2) * (1-'Life Table'!$D75) * G76</f>
        <v>0.50271793168934231</v>
      </c>
      <c r="H75" s="5">
        <f t="shared" si="3"/>
        <v>5.7985603162738819</v>
      </c>
      <c r="I75" s="6">
        <f xml:space="preserve"> 1 - i/(1+i)*H75</f>
        <v>0.72387808017743427</v>
      </c>
      <c r="J75" s="5">
        <f t="shared" si="4"/>
        <v>6.4574311712421251</v>
      </c>
      <c r="K75" s="6">
        <f xml:space="preserve"> 1 - i/(1+i)*J75</f>
        <v>0.69250327755989882</v>
      </c>
      <c r="L75" s="6">
        <f>(1+i)^(-5) * C80/C75</f>
        <v>0.51121790614682128</v>
      </c>
      <c r="M75" s="6">
        <f xml:space="preserve"> (1+i)^(-10) * C85/C75</f>
        <v>0.18635420094477356</v>
      </c>
      <c r="N75" s="6">
        <f xml:space="preserve"> (1+i)^(-20) * C95/C75</f>
        <v>2.4779546772575605E-3</v>
      </c>
      <c r="O75" s="7">
        <f t="shared" si="5"/>
        <v>86</v>
      </c>
    </row>
    <row r="76" spans="2:15" x14ac:dyDescent="0.25">
      <c r="B76" s="8">
        <v>87</v>
      </c>
      <c r="C76" s="9">
        <f>100000 * EXP(-Makeham_A*('Life Table'!$B76-$B$9) - Makeham_B/LN(Makeham_c) * (Makeham_c^'Life Table'!$B76 - Makeham_c^$B$9))</f>
        <v>53934.732192936477</v>
      </c>
      <c r="D76" s="10">
        <f xml:space="preserve"> 1 - C77/'Life Table'!$C76</f>
        <v>7.2236990358998665E-2</v>
      </c>
      <c r="E76" s="11">
        <f>1 + (1-'Life Table'!$D76) * (1+i)^(-1) * E77</f>
        <v>6.1307885253074907</v>
      </c>
      <c r="F76" s="12">
        <f>(1+i)^(-1) * 'Life Table'!$D76 + (1+i)^(-1) * (1-'Life Table'!$D76) * F77</f>
        <v>0.70805768927107171</v>
      </c>
      <c r="G76" s="12">
        <f xml:space="preserve"> (1+i)^(-2) * 'Life Table'!$D76 + (1+i)^(-2) * (1-'Life Table'!$D76) * G77</f>
        <v>0.52348576749952136</v>
      </c>
      <c r="H76" s="11">
        <f t="shared" si="3"/>
        <v>5.5953614748381515</v>
      </c>
      <c r="I76" s="12">
        <f xml:space="preserve"> 1 - i/(1+i)*H76</f>
        <v>0.73355421548389754</v>
      </c>
      <c r="J76" s="11">
        <f t="shared" si="4"/>
        <v>6.1285233826501182</v>
      </c>
      <c r="K76" s="12">
        <f xml:space="preserve"> 1 - i/(1+i)*J76</f>
        <v>0.70816555320713725</v>
      </c>
      <c r="L76" s="12">
        <f>(1+i)^(-5) * C81/C76</f>
        <v>0.48491968178194028</v>
      </c>
      <c r="M76" s="12">
        <f xml:space="preserve"> (1+i)^(-10) * C86/C76</f>
        <v>0.1607883035375407</v>
      </c>
      <c r="N76" s="12">
        <f xml:space="preserve"> (1+i)^(-20) * C96/C76</f>
        <v>1.3296806474037406E-3</v>
      </c>
      <c r="O76" s="24">
        <f t="shared" si="5"/>
        <v>87</v>
      </c>
    </row>
    <row r="77" spans="2:15" x14ac:dyDescent="0.25">
      <c r="B77" s="2">
        <v>88</v>
      </c>
      <c r="C77" s="3">
        <f>100000 * EXP(-Makeham_A*('Life Table'!$B77-$B$9) - Makeham_B/LN(Makeham_c) * (Makeham_c^'Life Table'!$B77 - Makeham_c^$B$9))</f>
        <v>50038.649463500151</v>
      </c>
      <c r="D77" s="4">
        <f xml:space="preserve"> 1 - C78/'Life Table'!$C77</f>
        <v>8.0797715318629448E-2</v>
      </c>
      <c r="E77" s="5">
        <f>1 + (1-'Life Table'!$D77) * (1+i)^(-1) * E78</f>
        <v>5.8067932172220322</v>
      </c>
      <c r="F77" s="6">
        <f>(1+i)^(-1) * 'Life Table'!$D77 + (1+i)^(-1) * (1-'Life Table'!$D77) * F78</f>
        <v>0.72348603727514105</v>
      </c>
      <c r="G77" s="6">
        <f xml:space="preserve"> (1+i)^(-2) * 'Life Table'!$D77 + (1+i)^(-2) * (1-'Life Table'!$D77) * G78</f>
        <v>0.54421879624689662</v>
      </c>
      <c r="H77" s="5">
        <f t="shared" si="3"/>
        <v>5.3827941137973294</v>
      </c>
      <c r="I77" s="6">
        <f xml:space="preserve"> 1 - i/(1+i)*H77</f>
        <v>0.74367647077155574</v>
      </c>
      <c r="J77" s="5">
        <f t="shared" si="4"/>
        <v>5.8057345038434436</v>
      </c>
      <c r="K77" s="6">
        <f xml:space="preserve"> 1 - i/(1+i)*J77</f>
        <v>0.72353645219793128</v>
      </c>
      <c r="L77" s="6">
        <f>(1+i)^(-5) * C82/C77</f>
        <v>0.45697187468894357</v>
      </c>
      <c r="M77" s="6">
        <f xml:space="preserve"> (1+i)^(-10) * C87/C77</f>
        <v>0.13621445954346659</v>
      </c>
      <c r="N77" s="6">
        <f xml:space="preserve"> (1+i)^(-20) * C97/C77</f>
        <v>6.6050853191088619E-4</v>
      </c>
      <c r="O77" s="7">
        <f t="shared" si="5"/>
        <v>88</v>
      </c>
    </row>
    <row r="78" spans="2:15" x14ac:dyDescent="0.25">
      <c r="B78" s="8">
        <v>89</v>
      </c>
      <c r="C78" s="9">
        <f>100000 * EXP(-Makeham_A*('Life Table'!$B78-$B$9) - Makeham_B/LN(Makeham_c) * (Makeham_c^'Life Table'!$B78 - Makeham_c^$B$9))</f>
        <v>45995.640909219575</v>
      </c>
      <c r="D78" s="10">
        <f xml:space="preserve"> 1 - C79/'Life Table'!$C78</f>
        <v>9.0325714205150565E-2</v>
      </c>
      <c r="E78" s="11">
        <f>1 + (1-'Life Table'!$D78) * (1+i)^(-1) * E79</f>
        <v>5.4907749493166857</v>
      </c>
      <c r="F78" s="12">
        <f>(1+i)^(-1) * 'Life Table'!$D78 + (1+i)^(-1) * (1-'Life Table'!$D78) * F79</f>
        <v>0.73853452622301463</v>
      </c>
      <c r="G78" s="12">
        <f xml:space="preserve"> (1+i)^(-2) * 'Life Table'!$D78 + (1+i)^(-2) * (1-'Life Table'!$D78) * G79</f>
        <v>0.56484140237265534</v>
      </c>
      <c r="H78" s="11">
        <f t="shared" si="3"/>
        <v>5.1620400439415945</v>
      </c>
      <c r="I78" s="12">
        <f xml:space="preserve"> 1 - i/(1+i)*H78</f>
        <v>0.75418856933611456</v>
      </c>
      <c r="J78" s="11">
        <f t="shared" si="4"/>
        <v>5.4903200819866322</v>
      </c>
      <c r="K78" s="12">
        <f xml:space="preserve"> 1 - i/(1+i)*J78</f>
        <v>0.73855618657206512</v>
      </c>
      <c r="L78" s="12">
        <f>(1+i)^(-5) * C83/C78</f>
        <v>0.42747662208574294</v>
      </c>
      <c r="M78" s="12">
        <f xml:space="preserve"> (1+i)^(-10) * C88/C78</f>
        <v>0.11304727449296439</v>
      </c>
      <c r="N78" s="12">
        <f xml:space="preserve"> (1+i)^(-20) * C98/C78</f>
        <v>3.0083597549102872E-4</v>
      </c>
      <c r="O78" s="24">
        <f t="shared" si="5"/>
        <v>89</v>
      </c>
    </row>
    <row r="79" spans="2:15" x14ac:dyDescent="0.25">
      <c r="B79" s="2">
        <v>90</v>
      </c>
      <c r="C79" s="3">
        <f>100000 * EXP(-Makeham_A*('Life Table'!$B79-$B$9) - Makeham_B/LN(Makeham_c) * (Makeham_c^'Life Table'!$B79 - Makeham_c^$B$9))</f>
        <v>41841.051793770675</v>
      </c>
      <c r="D79" s="4">
        <f xml:space="preserve"> 1 - C80/'Life Table'!$C79</f>
        <v>0.10091734390601792</v>
      </c>
      <c r="E79" s="5">
        <f>1 + (1-'Life Table'!$D79) * (1+i)^(-1) * E80</f>
        <v>5.1835187279833939</v>
      </c>
      <c r="F79" s="6">
        <f>(1+i)^(-1) * 'Life Table'!$D79 + (1+i)^(-1) * (1-'Life Table'!$D79) * F80</f>
        <v>0.75316577485793335</v>
      </c>
      <c r="G79" s="6">
        <f xml:space="preserve"> (1+i)^(-2) * 'Life Table'!$D79 + (1+i)^(-2) * (1-'Life Table'!$D79) * G80</f>
        <v>0.58527754408875532</v>
      </c>
      <c r="H79" s="5">
        <f t="shared" si="3"/>
        <v>4.9345592751740313</v>
      </c>
      <c r="I79" s="6">
        <f xml:space="preserve"> 1 - i/(1+i)*H79</f>
        <v>0.76502098689647469</v>
      </c>
      <c r="J79" s="5">
        <f t="shared" si="4"/>
        <v>5.1833409358606355</v>
      </c>
      <c r="K79" s="6">
        <f xml:space="preserve"> 1 - i/(1+i)*J79</f>
        <v>0.7531742411494935</v>
      </c>
      <c r="L79" s="6">
        <f>(1+i)^(-5) * C84/C79</f>
        <v>0.39659031650203219</v>
      </c>
      <c r="M79" s="6">
        <f xml:space="preserve"> (1+i)^(-10) * C89/C79</f>
        <v>9.1676400776765574E-2</v>
      </c>
      <c r="N79" s="6">
        <f xml:space="preserve"> (1+i)^(-20) * C99/C79</f>
        <v>1.2428796418921981E-4</v>
      </c>
      <c r="O79" s="7">
        <f t="shared" si="5"/>
        <v>90</v>
      </c>
    </row>
    <row r="80" spans="2:15" x14ac:dyDescent="0.25">
      <c r="B80" s="8">
        <v>91</v>
      </c>
      <c r="C80" s="9">
        <f>100000 * EXP(-Makeham_A*('Life Table'!$B80-$B$9) - Makeham_B/LN(Makeham_c) * (Makeham_c^'Life Table'!$B80 - Makeham_c^$B$9))</f>
        <v>37618.563980509214</v>
      </c>
      <c r="D80" s="10">
        <f xml:space="preserve"> 1 - C81/'Life Table'!$C80</f>
        <v>0.11267519902962342</v>
      </c>
      <c r="E80" s="11">
        <f>1 + (1-'Life Table'!$D80) * (1+i)^(-1) * E81</f>
        <v>4.8857517544231115</v>
      </c>
      <c r="F80" s="12">
        <f>(1+i)^(-1) * 'Life Table'!$D80 + (1+i)^(-1) * (1-'Life Table'!$D80) * F81</f>
        <v>0.76734515455128016</v>
      </c>
      <c r="G80" s="12">
        <f xml:space="preserve"> (1+i)^(-2) * 'Life Table'!$D80 + (1+i)^(-2) * (1-'Life Table'!$D80) * G81</f>
        <v>0.60545172878402542</v>
      </c>
      <c r="H80" s="11">
        <f t="shared" si="3"/>
        <v>4.7020676364892831</v>
      </c>
      <c r="I80" s="12">
        <f xml:space="preserve"> 1 - i/(1+i)*H80</f>
        <v>0.77609201731003419</v>
      </c>
      <c r="J80" s="11">
        <f t="shared" si="4"/>
        <v>4.8856892692154199</v>
      </c>
      <c r="K80" s="12">
        <f xml:space="preserve"> 1 - i/(1+i)*J80</f>
        <v>0.76734813003736102</v>
      </c>
      <c r="L80" s="12">
        <f>(1+i)^(-5) * C85/C80</f>
        <v>0.36452987797194414</v>
      </c>
      <c r="M80" s="12">
        <f xml:space="preserve"> (1+i)^(-10) * C90/C80</f>
        <v>7.2438708321321377E-2</v>
      </c>
      <c r="N80" s="12">
        <f xml:space="preserve"> (1+i)^(-20) * C100/C80</f>
        <v>4.6017677103374024E-5</v>
      </c>
      <c r="O80" s="24">
        <f t="shared" si="5"/>
        <v>91</v>
      </c>
    </row>
    <row r="81" spans="2:15" x14ac:dyDescent="0.25">
      <c r="B81" s="2">
        <v>92</v>
      </c>
      <c r="C81" s="3">
        <f>100000 * EXP(-Makeham_A*('Life Table'!$B81-$B$9) - Makeham_B/LN(Makeham_c) * (Makeham_c^'Life Table'!$B81 - Makeham_c^$B$9))</f>
        <v>33379.884796796716</v>
      </c>
      <c r="D81" s="4">
        <f xml:space="preserve"> 1 - C82/'Life Table'!$C81</f>
        <v>0.12570758063527565</v>
      </c>
      <c r="E81" s="5">
        <f>1 + (1-'Life Table'!$D81) * (1+i)^(-1) * E82</f>
        <v>4.5981351334734972</v>
      </c>
      <c r="F81" s="6">
        <f>(1+i)^(-1) * 'Life Table'!$D81 + (1+i)^(-1) * (1-'Life Table'!$D81) * F82</f>
        <v>0.78104118412030943</v>
      </c>
      <c r="G81" s="6">
        <f xml:space="preserve"> (1+i)^(-2) * 'Life Table'!$D81 + (1+i)^(-2) * (1-'Life Table'!$D81) * G82</f>
        <v>0.62529000806468815</v>
      </c>
      <c r="H81" s="5">
        <f t="shared" si="3"/>
        <v>4.4664948592859712</v>
      </c>
      <c r="I81" s="6">
        <f xml:space="preserve"> 1 - i/(1+i)*H81</f>
        <v>0.78730976860543</v>
      </c>
      <c r="J81" s="5">
        <f t="shared" si="4"/>
        <v>4.5981156469144615</v>
      </c>
      <c r="K81" s="6">
        <f xml:space="preserve"> 1 - i/(1+i)*J81</f>
        <v>0.78104211205169238</v>
      </c>
      <c r="L81" s="6">
        <f>(1+i)^(-5) * C86/C81</f>
        <v>0.33157718603355085</v>
      </c>
      <c r="M81" s="6">
        <f xml:space="preserve"> (1+i)^(-10) * C91/C81</f>
        <v>5.5590460358329631E-2</v>
      </c>
      <c r="N81" s="6">
        <f xml:space="preserve"> (1+i)^(-20) * C101/C81</f>
        <v>1.506307945891691E-5</v>
      </c>
      <c r="O81" s="7">
        <f t="shared" si="5"/>
        <v>92</v>
      </c>
    </row>
    <row r="82" spans="2:15" x14ac:dyDescent="0.25">
      <c r="B82" s="8">
        <v>93</v>
      </c>
      <c r="C82" s="9">
        <f>100000 * EXP(-Makeham_A*('Life Table'!$B82-$B$9) - Makeham_B/LN(Makeham_c) * (Makeham_c^'Life Table'!$B82 - Makeham_c^$B$9))</f>
        <v>29183.780237107181</v>
      </c>
      <c r="D82" s="10">
        <f xml:space="preserve"> 1 - C83/'Life Table'!$C82</f>
        <v>0.14012763272015671</v>
      </c>
      <c r="E82" s="11">
        <f>1 + (1-'Life Table'!$D82) * (1+i)^(-1) * E83</f>
        <v>4.3212566030165984</v>
      </c>
      <c r="F82" s="12">
        <f>(1+i)^(-1) * 'Life Table'!$D82 + (1+i)^(-1) * (1-'Life Table'!$D82) * F83</f>
        <v>0.79422587604682848</v>
      </c>
      <c r="G82" s="12">
        <f xml:space="preserve"> (1+i)^(-2) * 'Life Table'!$D82 + (1+i)^(-2) * (1-'Life Table'!$D82) * G83</f>
        <v>0.64472096608777485</v>
      </c>
      <c r="H82" s="11">
        <f t="shared" si="3"/>
        <v>4.2299229682371973</v>
      </c>
      <c r="I82" s="12">
        <f xml:space="preserve"> 1 - i/(1+i)*H82</f>
        <v>0.79857509675060967</v>
      </c>
      <c r="J82" s="11">
        <f t="shared" si="4"/>
        <v>4.3212512905451046</v>
      </c>
      <c r="K82" s="12">
        <f xml:space="preserve"> 1 - i/(1+i)*J82</f>
        <v>0.79422612902166168</v>
      </c>
      <c r="L82" s="12">
        <f>(1+i)^(-5) * C87/C82</f>
        <v>0.29808061959214988</v>
      </c>
      <c r="M82" s="12">
        <f xml:space="preserve"> (1+i)^(-10) * C92/C82</f>
        <v>4.1283214917473006E-2</v>
      </c>
      <c r="N82" s="12">
        <f xml:space="preserve"> (1+i)^(-20) * C102/C82</f>
        <v>4.2930059155150356E-6</v>
      </c>
      <c r="O82" s="24">
        <f t="shared" si="5"/>
        <v>93</v>
      </c>
    </row>
    <row r="83" spans="2:15" x14ac:dyDescent="0.25">
      <c r="B83" s="2">
        <v>94</v>
      </c>
      <c r="C83" s="3">
        <f>100000 * EXP(-Makeham_A*('Life Table'!$B83-$B$9) - Makeham_B/LN(Makeham_c) * (Makeham_c^'Life Table'!$B83 - Makeham_c^$B$9))</f>
        <v>25094.326198656057</v>
      </c>
      <c r="D83" s="4">
        <f xml:space="preserve"> 1 - C84/'Life Table'!$C83</f>
        <v>0.15605206395409199</v>
      </c>
      <c r="E83" s="5">
        <f>1 + (1-'Life Table'!$D83) * (1+i)^(-1) * E84</f>
        <v>4.0556244925038847</v>
      </c>
      <c r="F83" s="6">
        <f>(1+i)^(-1) * 'Life Table'!$D83 + (1+i)^(-1) * (1-'Life Table'!$D83) * F84</f>
        <v>0.80687502416648149</v>
      </c>
      <c r="G83" s="6">
        <f xml:space="preserve"> (1+i)^(-2) * 'Life Table'!$D83 + (1+i)^(-2) * (1-'Life Table'!$D83) * G84</f>
        <v>0.66367667354740068</v>
      </c>
      <c r="H83" s="5">
        <f t="shared" si="3"/>
        <v>3.9945073513387688</v>
      </c>
      <c r="I83" s="6">
        <f xml:space="preserve"> 1 - i/(1+i)*H83</f>
        <v>0.80978536422196346</v>
      </c>
      <c r="J83" s="5">
        <f t="shared" si="4"/>
        <v>4.055623247622786</v>
      </c>
      <c r="K83" s="6">
        <f xml:space="preserve"> 1 - i/(1+i)*J83</f>
        <v>0.80687508344653402</v>
      </c>
      <c r="L83" s="6">
        <f>(1+i)^(-5) * C88/C83</f>
        <v>0.26445253062350954</v>
      </c>
      <c r="M83" s="6">
        <f xml:space="preserve"> (1+i)^(-10) * C93/C83</f>
        <v>2.9547628645022948E-2</v>
      </c>
      <c r="N83" s="6">
        <f xml:space="preserve"> (1+i)^(-20) * C103/C83</f>
        <v>1.0471534406966615E-6</v>
      </c>
      <c r="O83" s="7">
        <f t="shared" si="5"/>
        <v>94</v>
      </c>
    </row>
    <row r="84" spans="2:15" x14ac:dyDescent="0.25">
      <c r="B84" s="8">
        <v>95</v>
      </c>
      <c r="C84" s="9">
        <f>100000 * EXP(-Makeham_A*('Life Table'!$B84-$B$9) - Makeham_B/LN(Makeham_c) * (Makeham_c^'Life Table'!$B84 - Makeham_c^$B$9))</f>
        <v>21178.304801818536</v>
      </c>
      <c r="D84" s="10">
        <f xml:space="preserve"> 1 - C85/'Life Table'!$C84</f>
        <v>0.17359936116606789</v>
      </c>
      <c r="E84" s="11">
        <f>1 + (1-'Life Table'!$D84) * (1+i)^(-1) * E85</f>
        <v>3.8016630885563916</v>
      </c>
      <c r="F84" s="12">
        <f>(1+i)^(-1) * 'Life Table'!$D84 + (1+i)^(-1) * (1-'Life Table'!$D84) * F85</f>
        <v>0.81896842435445738</v>
      </c>
      <c r="G84" s="12">
        <f xml:space="preserve"> (1+i)^(-2) * 'Life Table'!$D84 + (1+i)^(-2) * (1-'Life Table'!$D84) * G85</f>
        <v>0.68209357952692917</v>
      </c>
      <c r="H84" s="11">
        <f t="shared" si="3"/>
        <v>3.7623857981806328</v>
      </c>
      <c r="I84" s="12">
        <f xml:space="preserve"> 1 - i/(1+i)*H84</f>
        <v>0.82083877151520801</v>
      </c>
      <c r="J84" s="11">
        <f t="shared" si="4"/>
        <v>3.8016628425530161</v>
      </c>
      <c r="K84" s="12">
        <f xml:space="preserve"> 1 - i/(1+i)*J84</f>
        <v>0.81896843606890402</v>
      </c>
      <c r="L84" s="12">
        <f>(1+i)^(-5) * C89/C84</f>
        <v>0.23116147057084235</v>
      </c>
      <c r="M84" s="12">
        <f xml:space="preserve"> (1+i)^(-10) * C94/C84</f>
        <v>2.0289000130313005E-2</v>
      </c>
      <c r="N84" s="12">
        <f xml:space="preserve"> (1+i)^(-20) * C104/C84</f>
        <v>2.1442628284161713E-7</v>
      </c>
      <c r="O84" s="24">
        <f t="shared" si="5"/>
        <v>95</v>
      </c>
    </row>
    <row r="85" spans="2:15" x14ac:dyDescent="0.25">
      <c r="B85" s="2">
        <v>96</v>
      </c>
      <c r="C85" s="3">
        <f>100000 * EXP(-Makeham_A*('Life Table'!$B85-$B$9) - Makeham_B/LN(Makeham_c) * (Makeham_c^'Life Table'!$B85 - Makeham_c^$B$9))</f>
        <v>17501.76461764257</v>
      </c>
      <c r="D85" s="4">
        <f xml:space="preserve"> 1 - C86/'Life Table'!$C85</f>
        <v>0.19288739172655067</v>
      </c>
      <c r="E85" s="5">
        <f>1 + (1-'Life Table'!$D85) * (1+i)^(-1) * E86</f>
        <v>3.5597095461289507</v>
      </c>
      <c r="F85" s="6">
        <f>(1+i)^(-1) * 'Life Table'!$D85 + (1+i)^(-1) * (1-'Life Table'!$D85) * F86</f>
        <v>0.83049002161290697</v>
      </c>
      <c r="G85" s="6">
        <f xml:space="preserve"> (1+i)^(-2) * 'Life Table'!$D85 + (1+i)^(-2) * (1-'Life Table'!$D85) * G86</f>
        <v>0.69991331453775008</v>
      </c>
      <c r="H85" s="5">
        <f t="shared" si="3"/>
        <v>3.5355835909677222</v>
      </c>
      <c r="I85" s="6">
        <f xml:space="preserve"> 1 - i/(1+i)*H85</f>
        <v>0.83163887662058467</v>
      </c>
      <c r="J85" s="5">
        <f t="shared" si="4"/>
        <v>3.5597095060080388</v>
      </c>
      <c r="K85" s="6">
        <f xml:space="preserve"> 1 - i/(1+i)*J85</f>
        <v>0.83049002352342671</v>
      </c>
      <c r="L85" s="6">
        <f>(1+i)^(-5) * C90/C85</f>
        <v>0.19871816467921072</v>
      </c>
      <c r="M85" s="6">
        <f xml:space="preserve"> (1+i)^(-10) * C95/C85</f>
        <v>1.3297015386263858E-2</v>
      </c>
      <c r="N85" s="6">
        <f xml:space="preserve"> (1+i)^(-20) * C105/C85</f>
        <v>3.6069731033987847E-8</v>
      </c>
      <c r="O85" s="7">
        <f t="shared" si="5"/>
        <v>96</v>
      </c>
    </row>
    <row r="86" spans="2:15" x14ac:dyDescent="0.25">
      <c r="B86" s="8">
        <v>97</v>
      </c>
      <c r="C86" s="9">
        <f>100000 * EXP(-Makeham_A*('Life Table'!$B86-$B$9) - Makeham_B/LN(Makeham_c) * (Makeham_c^'Life Table'!$B86 - Makeham_c^$B$9))</f>
        <v>14125.894889933463</v>
      </c>
      <c r="D86" s="10">
        <f xml:space="preserve"> 1 - C87/'Life Table'!$C86</f>
        <v>0.21403028602038121</v>
      </c>
      <c r="E86" s="11">
        <f>1 + (1-'Life Table'!$D86) * (1+i)^(-1) * E87</f>
        <v>3.3300124367835533</v>
      </c>
      <c r="F86" s="12">
        <f>(1+i)^(-1) * 'Life Table'!$D86 + (1+i)^(-1) * (1-'Life Table'!$D86) * F87</f>
        <v>0.84142797920078305</v>
      </c>
      <c r="G86" s="12">
        <f xml:space="preserve"> (1+i)^(-2) * 'Life Table'!$D86 + (1+i)^(-2) * (1-'Life Table'!$D86) * G87</f>
        <v>0.71708338045839692</v>
      </c>
      <c r="H86" s="11">
        <f t="shared" si="3"/>
        <v>3.3159247039849835</v>
      </c>
      <c r="I86" s="12">
        <f xml:space="preserve"> 1 - i/(1+i)*H86</f>
        <v>0.84209882361976274</v>
      </c>
      <c r="J86" s="11">
        <f t="shared" si="4"/>
        <v>3.3300124315132358</v>
      </c>
      <c r="K86" s="12">
        <f xml:space="preserve"> 1 - i/(1+i)*J86</f>
        <v>0.84142797945175074</v>
      </c>
      <c r="L86" s="12">
        <f>(1+i)^(-5) * C91/C86</f>
        <v>0.16765465990987893</v>
      </c>
      <c r="M86" s="12">
        <f xml:space="preserve"> (1+i)^(-10) * C96/C86</f>
        <v>8.2697597906634321E-3</v>
      </c>
      <c r="N86" s="12">
        <f xml:space="preserve"> (1+i)^(-20) * C106/C86</f>
        <v>4.8642404700865181E-9</v>
      </c>
      <c r="O86" s="24">
        <f t="shared" si="5"/>
        <v>97</v>
      </c>
    </row>
    <row r="87" spans="2:15" x14ac:dyDescent="0.25">
      <c r="B87" s="2">
        <v>98</v>
      </c>
      <c r="C87" s="3">
        <f>100000 * EXP(-Makeham_A*('Life Table'!$B87-$B$9) - Makeham_B/LN(Makeham_c) * (Makeham_c^'Life Table'!$B87 - Makeham_c^$B$9))</f>
        <v>11102.525566347162</v>
      </c>
      <c r="D87" s="4">
        <f xml:space="preserve"> 1 - C88/'Life Table'!$C87</f>
        <v>0.23713449116042096</v>
      </c>
      <c r="E87" s="5">
        <f>1 + (1-'Life Table'!$D87) * (1+i)^(-1) * E88</f>
        <v>3.1127319731383087</v>
      </c>
      <c r="F87" s="6">
        <f>(1+i)^(-1) * 'Life Table'!$D87 + (1+i)^(-1) * (1-'Life Table'!$D87) * F88</f>
        <v>0.85177466794579471</v>
      </c>
      <c r="G87" s="6">
        <f xml:space="preserve"> (1+i)^(-2) * 'Life Table'!$D87 + (1+i)^(-2) * (1-'Life Table'!$D87) * G88</f>
        <v>0.73355770671584974</v>
      </c>
      <c r="H87" s="5">
        <f t="shared" si="3"/>
        <v>3.1049595723070218</v>
      </c>
      <c r="I87" s="6">
        <f xml:space="preserve"> 1 - i/(1+i)*H87</f>
        <v>0.85214478227109425</v>
      </c>
      <c r="J87" s="5">
        <f t="shared" si="4"/>
        <v>3.1127319725958182</v>
      </c>
      <c r="K87" s="6">
        <f xml:space="preserve"> 1 - i/(1+i)*J87</f>
        <v>0.85177466797162771</v>
      </c>
      <c r="L87" s="6">
        <f>(1+i)^(-5) * C92/C87</f>
        <v>0.13849680993671759</v>
      </c>
      <c r="M87" s="6">
        <f xml:space="preserve"> (1+i)^(-10) * C97/C87</f>
        <v>4.84903389937186E-3</v>
      </c>
      <c r="N87" s="6">
        <f xml:space="preserve"> (1+i)^(-20) * C107/C87</f>
        <v>5.1167160190625917E-10</v>
      </c>
      <c r="O87" s="7">
        <f t="shared" si="5"/>
        <v>98</v>
      </c>
    </row>
    <row r="88" spans="2:15" x14ac:dyDescent="0.25">
      <c r="B88" s="8">
        <v>99</v>
      </c>
      <c r="C88" s="9">
        <f>100000 * EXP(-Makeham_A*('Life Table'!$B88-$B$9) - Makeham_B/LN(Makeham_c) * (Makeham_c^'Life Table'!$B88 - Makeham_c^$B$9))</f>
        <v>8469.7338155758625</v>
      </c>
      <c r="D88" s="10">
        <f xml:space="preserve"> 1 - C89/'Life Table'!$C88</f>
        <v>0.26229389629347655</v>
      </c>
      <c r="E88" s="11">
        <f>1 + (1-'Life Table'!$D88) * (1+i)^(-1) * E89</f>
        <v>2.907941892889693</v>
      </c>
      <c r="F88" s="12">
        <f>(1+i)^(-1) * 'Life Table'!$D88 + (1+i)^(-1) * (1-'Life Table'!$D88) * F89</f>
        <v>0.86152657652906195</v>
      </c>
      <c r="G88" s="12">
        <f xml:space="preserve"> (1+i)^(-2) * 'Life Table'!$D88 + (1+i)^(-2) * (1-'Life Table'!$D88) * G89</f>
        <v>0.74929705678174319</v>
      </c>
      <c r="H88" s="11">
        <f t="shared" si="3"/>
        <v>2.9039182016322655</v>
      </c>
      <c r="I88" s="12">
        <f xml:space="preserve"> 1 - i/(1+i)*H88</f>
        <v>0.86171818087465402</v>
      </c>
      <c r="J88" s="11">
        <f t="shared" si="4"/>
        <v>2.9079418928472744</v>
      </c>
      <c r="K88" s="12">
        <f xml:space="preserve"> 1 - i/(1+i)*J88</f>
        <v>0.86152657653108222</v>
      </c>
      <c r="L88" s="12">
        <f>(1+i)^(-5) * C93/C88</f>
        <v>0.11173131365147991</v>
      </c>
      <c r="M88" s="12">
        <f xml:space="preserve"> (1+i)^(-10) * C98/C88</f>
        <v>2.6611519547050343E-3</v>
      </c>
      <c r="N88" s="12">
        <f xml:space="preserve"> (1+i)^(-20) * C108/C88</f>
        <v>4.0709207671026861E-11</v>
      </c>
      <c r="O88" s="24">
        <f t="shared" si="5"/>
        <v>99</v>
      </c>
    </row>
    <row r="89" spans="2:15" x14ac:dyDescent="0.25">
      <c r="B89" s="2">
        <v>100</v>
      </c>
      <c r="C89" s="3">
        <f>100000 * EXP(-Makeham_A*('Life Table'!$B89-$B$9) - Makeham_B/LN(Makeham_c) * (Makeham_c^'Life Table'!$B89 - Makeham_c^$B$9))</f>
        <v>6248.1743325198559</v>
      </c>
      <c r="D89" s="4">
        <f xml:space="preserve"> 1 - C90/'Life Table'!$C89</f>
        <v>0.28958395257968084</v>
      </c>
      <c r="E89" s="5">
        <f>1 + (1-'Life Table'!$D89) * (1+i)^(-1) * E90</f>
        <v>2.7156329295211474</v>
      </c>
      <c r="F89" s="6">
        <f>(1+i)^(-1) * 'Life Table'!$D89 + (1+i)^(-1) * (1-'Life Table'!$D89) * F90</f>
        <v>0.87068414621327839</v>
      </c>
      <c r="G89" s="6">
        <f xml:space="preserve"> (1+i)^(-2) * 'Life Table'!$D89 + (1+i)^(-2) * (1-'Life Table'!$D89) * G90</f>
        <v>0.76426927468217132</v>
      </c>
      <c r="H89" s="5">
        <f t="shared" si="3"/>
        <v>2.7136935850306108</v>
      </c>
      <c r="I89" s="6">
        <f xml:space="preserve"> 1 - i/(1+i)*H89</f>
        <v>0.87077649595092332</v>
      </c>
      <c r="J89" s="5">
        <f t="shared" si="4"/>
        <v>2.7156329295187147</v>
      </c>
      <c r="K89" s="6">
        <f xml:space="preserve"> 1 - i/(1+i)*J89</f>
        <v>0.87068414621339452</v>
      </c>
      <c r="L89" s="6">
        <f>(1+i)^(-5) * C94/C89</f>
        <v>8.7769817695874108E-2</v>
      </c>
      <c r="M89" s="6">
        <f xml:space="preserve"> (1+i)^(-10) * C99/C89</f>
        <v>1.3557247354405223E-3</v>
      </c>
      <c r="N89" s="6">
        <f xml:space="preserve"> (1+i)^(-20) * C109/C89</f>
        <v>2.3663607382045588E-12</v>
      </c>
      <c r="O89" s="7">
        <f t="shared" si="5"/>
        <v>100</v>
      </c>
    </row>
    <row r="90" spans="2:15" hidden="1" x14ac:dyDescent="0.25">
      <c r="B90" s="8">
        <v>101</v>
      </c>
      <c r="C90" s="9">
        <f>100000 * EXP(-Makeham_A*('Life Table'!$B90-$B$9) - Makeham_B/LN(Makeham_c) * (Makeham_c^'Life Table'!$B90 - Makeham_c^$B$9))</f>
        <v>4438.8033129018468</v>
      </c>
      <c r="D90" s="10">
        <f xml:space="preserve"> 1 - C91/'Life Table'!$C90</f>
        <v>0.31905475240524472</v>
      </c>
      <c r="E90" s="11">
        <f>1 + (1-'Life Table'!$D90) * (1+i)^(-1) * E91</f>
        <v>2.5357177424954678</v>
      </c>
      <c r="F90" s="12">
        <f>(1+i)^(-1) * 'Life Table'!$D90 + (1+i)^(-1) * (1-'Life Table'!$D90) * F91</f>
        <v>0.87925153607164419</v>
      </c>
      <c r="G90" s="12">
        <f xml:space="preserve"> (1+i)^(-2) * 'Life Table'!$D90 + (1+i)^(-2) * (1-'Life Table'!$D90) * G91</f>
        <v>0.77844936747355864</v>
      </c>
      <c r="H90" s="11">
        <f t="shared" si="3"/>
        <v>2.5348551483225514</v>
      </c>
      <c r="I90" s="12">
        <f xml:space="preserve"> 1 - i/(1+i)*H90</f>
        <v>0.87929261198464037</v>
      </c>
      <c r="J90" s="11">
        <f t="shared" si="4"/>
        <v>2.5357177424953692</v>
      </c>
      <c r="K90" s="12">
        <f xml:space="preserve"> 1 - i/(1+i)*J90</f>
        <v>0.87925153607164908</v>
      </c>
      <c r="L90" s="12">
        <f>(1+i)^(-5) * C95/C90</f>
        <v>6.691394019127106E-2</v>
      </c>
      <c r="M90" s="12">
        <f xml:space="preserve"> (1+i)^(-10) * C100/C90</f>
        <v>6.3526363417815569E-4</v>
      </c>
      <c r="N90" s="12">
        <f xml:space="preserve"> (1+i)^(-20) * C110/C90</f>
        <v>9.6661471395776775E-14</v>
      </c>
      <c r="O90" s="24">
        <f t="shared" si="5"/>
        <v>101</v>
      </c>
    </row>
    <row r="91" spans="2:15" hidden="1" x14ac:dyDescent="0.25">
      <c r="B91" s="2">
        <v>102</v>
      </c>
      <c r="C91" s="3">
        <f>100000 * EXP(-Makeham_A*('Life Table'!$B91-$B$9) - Makeham_B/LN(Makeham_c) * (Makeham_c^'Life Table'!$B91 - Makeham_c^$B$9))</f>
        <v>3022.5820209283679</v>
      </c>
      <c r="D91" s="4">
        <f xml:space="preserve"> 1 - C92/'Life Table'!$C91</f>
        <v>0.35072309859108552</v>
      </c>
      <c r="E91" s="5">
        <f>1 + (1-'Life Table'!$D91) * (1+i)^(-1) * E92</f>
        <v>2.3680371297339251</v>
      </c>
      <c r="F91" s="6">
        <f>(1+i)^(-1) * 'Life Table'!$D91 + (1+i)^(-1) * (1-'Life Table'!$D91) * F92</f>
        <v>0.88723632715552703</v>
      </c>
      <c r="G91" s="6">
        <f xml:space="preserve"> (1+i)^(-2) * 'Life Table'!$D91 + (1+i)^(-2) * (1-'Life Table'!$D91) * G92</f>
        <v>0.79181942621506396</v>
      </c>
      <c r="H91" s="5">
        <f t="shared" si="3"/>
        <v>2.3676865919094552</v>
      </c>
      <c r="I91" s="6">
        <f xml:space="preserve"> 1 - i/(1+i)*H91</f>
        <v>0.88725301943288315</v>
      </c>
      <c r="J91" s="5">
        <f t="shared" si="4"/>
        <v>2.3680371297339224</v>
      </c>
      <c r="K91" s="6">
        <f xml:space="preserve"> 1 - i/(1+i)*J91</f>
        <v>0.88723632715552747</v>
      </c>
      <c r="L91" s="6">
        <f>(1+i)^(-5) * C96/C91</f>
        <v>4.9326155295109343E-2</v>
      </c>
      <c r="M91" s="6">
        <f xml:space="preserve"> (1+i)^(-10) * C101/C91</f>
        <v>2.7096518650541942E-4</v>
      </c>
      <c r="N91" s="6">
        <f xml:space="preserve"> (1+i)^(-20) * C111/C91</f>
        <v>2.6558970486378914E-15</v>
      </c>
      <c r="O91" s="7">
        <f t="shared" si="5"/>
        <v>102</v>
      </c>
    </row>
    <row r="92" spans="2:15" hidden="1" x14ac:dyDescent="0.25">
      <c r="B92" s="8">
        <v>103</v>
      </c>
      <c r="C92" s="9">
        <f>100000 * EXP(-Makeham_A*('Life Table'!$B92-$B$9) - Makeham_B/LN(Makeham_c) * (Makeham_c^'Life Table'!$B92 - Makeham_c^$B$9))</f>
        <v>1962.4926888026653</v>
      </c>
      <c r="D92" s="10">
        <f xml:space="preserve"> 1 - C93/'Life Table'!$C92</f>
        <v>0.38456369153197745</v>
      </c>
      <c r="E92" s="11">
        <f>1 + (1-'Life Table'!$D92) * (1+i)^(-1) * E93</f>
        <v>2.2123673013834084</v>
      </c>
      <c r="F92" s="12">
        <f>(1+i)^(-1) * 'Life Table'!$D92 + (1+i)^(-1) * (1-'Life Table'!$D92) * F93</f>
        <v>0.89464917612459938</v>
      </c>
      <c r="G92" s="12">
        <f xml:space="preserve"> (1+i)^(-2) * 'Life Table'!$D92 + (1+i)^(-2) * (1-'Life Table'!$D92) * G93</f>
        <v>0.8043683945597575</v>
      </c>
      <c r="H92" s="11">
        <f t="shared" si="3"/>
        <v>2.2122386178129911</v>
      </c>
      <c r="I92" s="12">
        <f xml:space="preserve"> 1 - i/(1+i)*H92</f>
        <v>0.8946553039136671</v>
      </c>
      <c r="J92" s="11">
        <f t="shared" si="4"/>
        <v>2.2123673013834084</v>
      </c>
      <c r="K92" s="12">
        <f xml:space="preserve"> 1 - i/(1+i)*J92</f>
        <v>0.8946491761245996</v>
      </c>
      <c r="L92" s="12">
        <f>(1+i)^(-5) * C97/C92</f>
        <v>3.5011881512559719E-2</v>
      </c>
      <c r="M92" s="12">
        <f xml:space="preserve"> (1+i)^(-10) * C102/C92</f>
        <v>1.0398913757315042E-4</v>
      </c>
      <c r="N92" s="12">
        <f xml:space="preserve"> (1+i)^(-20) * C112/C92</f>
        <v>4.6730437005058424E-17</v>
      </c>
      <c r="O92" s="24">
        <f t="shared" si="5"/>
        <v>103</v>
      </c>
    </row>
    <row r="93" spans="2:15" hidden="1" x14ac:dyDescent="0.25">
      <c r="B93" s="2">
        <v>104</v>
      </c>
      <c r="C93" s="3">
        <f>100000 * EXP(-Makeham_A*('Life Table'!$B93-$B$9) - Makeham_B/LN(Makeham_c) * (Makeham_c^'Life Table'!$B93 - Makeham_c^$B$9))</f>
        <v>1207.7892557921962</v>
      </c>
      <c r="D93" s="4">
        <f xml:space="preserve"> 1 - C94/'Life Table'!$C93</f>
        <v>0.42049969592747605</v>
      </c>
      <c r="E93" s="5">
        <f>1 + (1-'Life Table'!$D93) * (1+i)^(-1) * E94</f>
        <v>2.0684279574296873</v>
      </c>
      <c r="F93" s="6">
        <f>(1+i)^(-1) * 'Life Table'!$D93 + (1+i)^(-1) * (1-'Life Table'!$D93) * F94</f>
        <v>0.90150343059858606</v>
      </c>
      <c r="G93" s="6">
        <f xml:space="preserve"> (1+i)^(-2) * 'Life Table'!$D93 + (1+i)^(-2) * (1-'Life Table'!$D93) * G94</f>
        <v>0.81609170040745438</v>
      </c>
      <c r="H93" s="5">
        <f t="shared" si="3"/>
        <v>2.0683858260927326</v>
      </c>
      <c r="I93" s="6">
        <f xml:space="preserve"> 1 - i/(1+i)*H93</f>
        <v>0.90150543685272699</v>
      </c>
      <c r="J93" s="5">
        <f t="shared" si="4"/>
        <v>2.0684279574296873</v>
      </c>
      <c r="K93" s="6">
        <f xml:space="preserve"> 1 - i/(1+i)*J93</f>
        <v>0.90150343059858629</v>
      </c>
      <c r="L93" s="6">
        <f>(1+i)^(-5) * C98/C93</f>
        <v>2.381742295634225E-2</v>
      </c>
      <c r="M93" s="6">
        <f xml:space="preserve"> (1+i)^(-10) * C103/C93</f>
        <v>3.5439508641348987E-5</v>
      </c>
      <c r="N93" s="6">
        <f xml:space="preserve"> (1+i)^(-20) * C113/C93</f>
        <v>4.9821481267304728E-19</v>
      </c>
      <c r="O93" s="7">
        <f t="shared" si="5"/>
        <v>104</v>
      </c>
    </row>
    <row r="94" spans="2:15" hidden="1" x14ac:dyDescent="0.25">
      <c r="B94" s="8">
        <v>105</v>
      </c>
      <c r="C94" s="9">
        <f>100000 * EXP(-Makeham_A*('Life Table'!$B94-$B$9) - Makeham_B/LN(Makeham_c) * (Makeham_c^'Life Table'!$B94 - Makeham_c^$B$9))</f>
        <v>699.91424098710513</v>
      </c>
      <c r="D94" s="10">
        <f xml:space="preserve"> 1 - C95/'Life Table'!$C94</f>
        <v>0.45839312242029384</v>
      </c>
      <c r="E94" s="11">
        <f>1 + (1-'Life Table'!$D94) * (1+i)^(-1) * E95</f>
        <v>1.9358908829162127</v>
      </c>
      <c r="F94" s="12">
        <f>(1+i)^(-1) * 'Life Table'!$D94 + (1+i)^(-1) * (1-'Life Table'!$D94) * F95</f>
        <v>0.9078147198611326</v>
      </c>
      <c r="G94" s="12">
        <f xml:space="preserve"> (1+i)^(-2) * 'Life Table'!$D94 + (1+i)^(-2) * (1-'Life Table'!$D94) * G95</f>
        <v>0.82699077188364312</v>
      </c>
      <c r="H94" s="11">
        <f t="shared" si="3"/>
        <v>1.9358787579532406</v>
      </c>
      <c r="I94" s="12">
        <f xml:space="preserve"> 1 - i/(1+i)*H94</f>
        <v>0.90781529724032184</v>
      </c>
      <c r="J94" s="11">
        <f t="shared" si="4"/>
        <v>1.9358908829162127</v>
      </c>
      <c r="K94" s="12">
        <f xml:space="preserve"> 1 - i/(1+i)*J94</f>
        <v>0.90781471986113271</v>
      </c>
      <c r="L94" s="12">
        <f>(1+i)^(-5) * C99/C94</f>
        <v>1.5446366086097639E-2</v>
      </c>
      <c r="M94" s="12">
        <f xml:space="preserve"> (1+i)^(-10) * C104/C94</f>
        <v>1.0568597834510889E-5</v>
      </c>
      <c r="N94" s="12">
        <f xml:space="preserve"> (1+i)^(-20) * C114/C94</f>
        <v>3.024702819786096E-21</v>
      </c>
      <c r="O94" s="24">
        <f t="shared" si="5"/>
        <v>105</v>
      </c>
    </row>
    <row r="95" spans="2:15" hidden="1" x14ac:dyDescent="0.25">
      <c r="B95" s="2">
        <v>106</v>
      </c>
      <c r="C95" s="3">
        <f>100000 * EXP(-Makeham_A*('Life Table'!$B95-$B$9) - Makeham_B/LN(Makeham_c) * (Makeham_c^'Life Table'!$B95 - Makeham_c^$B$9))</f>
        <v>379.07836663459597</v>
      </c>
      <c r="D95" s="4">
        <f xml:space="preserve"> 1 - C96/'Life Table'!$C95</f>
        <v>0.49803567187473441</v>
      </c>
      <c r="E95" s="5">
        <f>1 + (1-'Life Table'!$D95) * (1+i)^(-1) * E96</f>
        <v>1.814388752693425</v>
      </c>
      <c r="F95" s="6">
        <f>(1+i)^(-1) * 'Life Table'!$D95 + (1+i)^(-1) * (1-'Life Table'!$D95) * F96</f>
        <v>0.91360053558602727</v>
      </c>
      <c r="G95" s="6">
        <f xml:space="preserve"> (1+i)^(-2) * 'Life Table'!$D95 + (1+i)^(-2) * (1-'Life Table'!$D95) * G96</f>
        <v>0.83707246408572977</v>
      </c>
      <c r="H95" s="5">
        <f t="shared" si="3"/>
        <v>1.8143857354064183</v>
      </c>
      <c r="I95" s="6">
        <f xml:space="preserve"> 1 - i/(1+i)*H95</f>
        <v>0.91360067926636102</v>
      </c>
      <c r="J95" s="5">
        <f t="shared" si="4"/>
        <v>1.814388752693425</v>
      </c>
      <c r="K95" s="6">
        <f xml:space="preserve"> 1 - i/(1+i)*J95</f>
        <v>0.91360053558602738</v>
      </c>
      <c r="L95" s="6">
        <f>(1+i)^(-5) * C100/C95</f>
        <v>9.4937412497646638E-3</v>
      </c>
      <c r="M95" s="6">
        <f xml:space="preserve"> (1+i)^(-10) * C105/C95</f>
        <v>2.7126185829076173E-6</v>
      </c>
      <c r="N95" s="6">
        <f xml:space="preserve"> (1+i)^(-20) * C115/C95</f>
        <v>9.7515528797176324E-24</v>
      </c>
      <c r="O95" s="7">
        <f t="shared" si="5"/>
        <v>106</v>
      </c>
    </row>
    <row r="96" spans="2:15" hidden="1" x14ac:dyDescent="0.25">
      <c r="B96" s="8">
        <v>107</v>
      </c>
      <c r="C96" s="9">
        <f>100000 * EXP(-Makeham_A*('Life Table'!$B96-$B$9) - Makeham_B/LN(Makeham_c) * (Makeham_c^'Life Table'!$B96 - Makeham_c^$B$9))</f>
        <v>190.28381761455807</v>
      </c>
      <c r="D96" s="10">
        <f xml:space="preserve"> 1 - C97/'Life Table'!$C96</f>
        <v>0.53914093233159943</v>
      </c>
      <c r="E96" s="11">
        <f>1 + (1-'Life Table'!$D96) * (1+i)^(-1) * E97</f>
        <v>1.7035238211483095</v>
      </c>
      <c r="F96" s="12">
        <f>(1+i)^(-1) * 'Life Table'!$D96 + (1+i)^(-1) * (1-'Life Table'!$D96) * F97</f>
        <v>0.91887981804055663</v>
      </c>
      <c r="G96" s="12">
        <f xml:space="preserve"> (1+i)^(-2) * 'Life Table'!$D96 + (1+i)^(-2) * (1-'Life Table'!$D96) * G97</f>
        <v>0.8463484275196631</v>
      </c>
      <c r="H96" s="11">
        <f t="shared" si="3"/>
        <v>1.7035231838483518</v>
      </c>
      <c r="I96" s="12">
        <f xml:space="preserve"> 1 - i/(1+i)*H96</f>
        <v>0.91887984838817371</v>
      </c>
      <c r="J96" s="11">
        <f t="shared" si="4"/>
        <v>1.7035238211483095</v>
      </c>
      <c r="K96" s="12">
        <f xml:space="preserve"> 1 - i/(1+i)*J96</f>
        <v>0.91887981804055674</v>
      </c>
      <c r="L96" s="12">
        <f>(1+i)^(-5) * C101/C96</f>
        <v>5.4933368490668764E-3</v>
      </c>
      <c r="M96" s="12">
        <f xml:space="preserve"> (1+i)^(-10) * C106/C96</f>
        <v>5.8819610160602865E-7</v>
      </c>
      <c r="N96" s="12">
        <f xml:space="preserve"> (1+i)^(-20) * C116/C96</f>
        <v>1.5434954075903661E-26</v>
      </c>
      <c r="O96" s="24">
        <f t="shared" si="5"/>
        <v>107</v>
      </c>
    </row>
    <row r="97" spans="2:15" hidden="1" x14ac:dyDescent="0.25">
      <c r="B97" s="2">
        <v>108</v>
      </c>
      <c r="C97" s="3">
        <f>100000 * EXP(-Makeham_A*('Life Table'!$B97-$B$9) - Makeham_B/LN(Makeham_c) * (Makeham_c^'Life Table'!$B97 - Makeham_c^$B$9))</f>
        <v>87.694022778229197</v>
      </c>
      <c r="D97" s="4">
        <f xml:space="preserve"> 1 - C98/'Life Table'!$C97</f>
        <v>0.58133907038916055</v>
      </c>
      <c r="E97" s="5">
        <f>1 + (1-'Life Table'!$D97) * (1+i)^(-1) * E98</f>
        <v>1.6028761589589418</v>
      </c>
      <c r="F97" s="6">
        <f>(1+i)^(-1) * 'Life Table'!$D97 + (1+i)^(-1) * (1-'Life Table'!$D97) * F98</f>
        <v>0.92367256385909802</v>
      </c>
      <c r="G97" s="6">
        <f xml:space="preserve"> (1+i)^(-2) * 'Life Table'!$D97 + (1+i)^(-2) * (1-'Life Table'!$D97) * G98</f>
        <v>0.85483445297487726</v>
      </c>
      <c r="H97" s="5">
        <f t="shared" si="3"/>
        <v>1.6028760470829855</v>
      </c>
      <c r="I97" s="6">
        <f xml:space="preserve"> 1 - i/(1+i)*H97</f>
        <v>0.92367256918652452</v>
      </c>
      <c r="J97" s="5">
        <f t="shared" si="4"/>
        <v>1.6028761589589418</v>
      </c>
      <c r="K97" s="6">
        <f xml:space="preserve"> 1 - i/(1+i)*J97</f>
        <v>0.92367256385909802</v>
      </c>
      <c r="L97" s="6">
        <f>(1+i)^(-5) * C102/C97</f>
        <v>2.9701099478428965E-3</v>
      </c>
      <c r="M97" s="6">
        <f xml:space="preserve"> (1+i)^(-10) * C107/C97</f>
        <v>1.0552031858810903E-7</v>
      </c>
      <c r="N97" s="6">
        <f xml:space="preserve"> (1+i)^(-20) * C117/C97</f>
        <v>1.0981620130349597E-29</v>
      </c>
      <c r="O97" s="7">
        <f t="shared" si="5"/>
        <v>108</v>
      </c>
    </row>
    <row r="98" spans="2:15" hidden="1" x14ac:dyDescent="0.25">
      <c r="B98" s="8">
        <v>109</v>
      </c>
      <c r="C98" s="9">
        <f>100000 * EXP(-Makeham_A*('Life Table'!$B98-$B$9) - Makeham_B/LN(Makeham_c) * (Makeham_c^'Life Table'!$B98 - Makeham_c^$B$9))</f>
        <v>36.714061097647559</v>
      </c>
      <c r="D98" s="10">
        <f xml:space="preserve"> 1 - C99/'Life Table'!$C98</f>
        <v>0.6241753837047459</v>
      </c>
      <c r="E98" s="11">
        <f>1 + (1-'Life Table'!$D98) * (1+i)^(-1) * E99</f>
        <v>1.5120110861438731</v>
      </c>
      <c r="F98" s="12">
        <f>(1+i)^(-1) * 'Life Table'!$D98 + (1+i)^(-1) * (1-'Life Table'!$D98) * F99</f>
        <v>0.92799947208838707</v>
      </c>
      <c r="G98" s="12">
        <f xml:space="preserve"> (1+i)^(-2) * 'Life Table'!$D98 + (1+i)^(-2) * (1-'Life Table'!$D98) * G99</f>
        <v>0.86254983084118231</v>
      </c>
      <c r="H98" s="11">
        <f t="shared" si="3"/>
        <v>1.5120110702039584</v>
      </c>
      <c r="I98" s="12">
        <f xml:space="preserve"> 1 - i/(1+i)*H98</f>
        <v>0.92799947284743056</v>
      </c>
      <c r="J98" s="11">
        <f t="shared" si="4"/>
        <v>1.5120110861438731</v>
      </c>
      <c r="K98" s="12">
        <f xml:space="preserve"> 1 - i/(1+i)*J98</f>
        <v>0.92799947208838696</v>
      </c>
      <c r="L98" s="12">
        <f>(1+i)^(-5) * C103/C98</f>
        <v>1.4879657092335397E-3</v>
      </c>
      <c r="M98" s="12">
        <f xml:space="preserve"> (1+i)^(-10) * C108/C98</f>
        <v>1.5297588549594539E-8</v>
      </c>
      <c r="N98" s="12">
        <f xml:space="preserve"> (1+i)^(-20) * C118/C98</f>
        <v>3.1805004782767863E-33</v>
      </c>
      <c r="O98" s="24">
        <f t="shared" si="5"/>
        <v>109</v>
      </c>
    </row>
    <row r="99" spans="2:15" hidden="1" x14ac:dyDescent="0.25">
      <c r="B99" s="2">
        <v>110</v>
      </c>
      <c r="C99" s="3">
        <f>100000 * EXP(-Makeham_A*('Life Table'!$B99-$B$9) - Makeham_B/LN(Makeham_c) * (Makeham_c^'Life Table'!$B99 - Makeham_c^$B$9))</f>
        <v>13.79804792466391</v>
      </c>
      <c r="D99" s="4">
        <f xml:space="preserve"> 1 - C100/'Life Table'!$C99</f>
        <v>0.66711422439595069</v>
      </c>
      <c r="E99" s="5">
        <f>1 + (1-'Life Table'!$D99) * (1+i)^(-1) * E100</f>
        <v>1.4304854369323965</v>
      </c>
      <c r="F99" s="6">
        <f>(1+i)^(-1) * 'Life Table'!$D99 + (1+i)^(-1) * (1-'Life Table'!$D99) * F100</f>
        <v>0.93188164586036204</v>
      </c>
      <c r="G99" s="6">
        <f xml:space="preserve"> (1+i)^(-2) * 'Life Table'!$D99 + (1+i)^(-2) * (1-'Life Table'!$D99) * G100</f>
        <v>0.86951676560997082</v>
      </c>
      <c r="H99" s="5">
        <f t="shared" si="3"/>
        <v>1.4304854351378296</v>
      </c>
      <c r="I99" s="6">
        <f xml:space="preserve"> 1 - i/(1+i)*H99</f>
        <v>0.93188164594581768</v>
      </c>
      <c r="J99" s="5">
        <f t="shared" si="4"/>
        <v>1.4304854369323965</v>
      </c>
      <c r="K99" s="6">
        <f xml:space="preserve"> 1 - i/(1+i)*J99</f>
        <v>0.93188164586036204</v>
      </c>
      <c r="L99" s="6">
        <f>(1+i)^(-5) * C104/C99</f>
        <v>6.8421256984340544E-4</v>
      </c>
      <c r="M99" s="6">
        <f xml:space="preserve"> (1+i)^(-10) * C109/C99</f>
        <v>1.7454581128046218E-9</v>
      </c>
      <c r="N99" s="6">
        <f xml:space="preserve"> (1+i)^(-20) * C119/C99</f>
        <v>3.3542182353447141E-37</v>
      </c>
      <c r="O99" s="7">
        <f t="shared" si="5"/>
        <v>110</v>
      </c>
    </row>
    <row r="100" spans="2:15" hidden="1" x14ac:dyDescent="0.25">
      <c r="B100" s="8">
        <v>111</v>
      </c>
      <c r="C100" s="9">
        <f>100000 * EXP(-Makeham_A*('Life Table'!$B100-$B$9) - Makeham_B/LN(Makeham_c) * (Makeham_c^'Life Table'!$B100 - Makeham_c^$B$9))</f>
        <v>4.5931738852235897</v>
      </c>
      <c r="D100" s="10">
        <f xml:space="preserve"> 1 - C101/'Life Table'!$C100</f>
        <v>0.70954978990227147</v>
      </c>
      <c r="E100" s="11">
        <f>1 + (1-'Life Table'!$D100) * (1+i)^(-1) * E101</f>
        <v>1.3578522781840303</v>
      </c>
      <c r="F100" s="12">
        <f>(1+i)^(-1) * 'Life Table'!$D100 + (1+i)^(-1) * (1-'Life Table'!$D100) * F101</f>
        <v>0.93534036770552231</v>
      </c>
      <c r="G100" s="12">
        <f xml:space="preserve"> (1+i)^(-2) * 'Life Table'!$D100 + (1+i)^(-2) * (1-'Life Table'!$D100) * G101</f>
        <v>0.87575988838826213</v>
      </c>
      <c r="H100" s="11">
        <f t="shared" si="3"/>
        <v>1.3578522780291298</v>
      </c>
      <c r="I100" s="12">
        <f xml:space="preserve"> 1 - i/(1+i)*H100</f>
        <v>0.93534036771289863</v>
      </c>
      <c r="J100" s="11">
        <f t="shared" si="4"/>
        <v>1.3578522781840303</v>
      </c>
      <c r="K100" s="12">
        <f xml:space="preserve"> 1 - i/(1+i)*J100</f>
        <v>0.93534036770552231</v>
      </c>
      <c r="L100" s="12">
        <f>(1+i)^(-5) * C105/C100</f>
        <v>2.8572703969310926E-4</v>
      </c>
      <c r="M100" s="12">
        <f xml:space="preserve"> (1+i)^(-10) * C110/C100</f>
        <v>1.5215961719708431E-10</v>
      </c>
      <c r="N100" s="12">
        <f xml:space="preserve"> (1+i)^(-20) * C120/C100</f>
        <v>1.1364518804162131E-41</v>
      </c>
      <c r="O100" s="24">
        <f t="shared" si="5"/>
        <v>111</v>
      </c>
    </row>
    <row r="101" spans="2:15" hidden="1" x14ac:dyDescent="0.25">
      <c r="B101" s="2">
        <v>112</v>
      </c>
      <c r="C101" s="3">
        <f>100000 * EXP(-Makeham_A*('Life Table'!$B101-$B$9) - Makeham_B/LN(Makeham_c) * (Makeham_c^'Life Table'!$B101 - Makeham_c^$B$9))</f>
        <v>1.3340883199785916</v>
      </c>
      <c r="D101" s="4">
        <f xml:space="preserve"> 1 - C102/'Life Table'!$C101</f>
        <v>0.75082501964756998</v>
      </c>
      <c r="E101" s="5">
        <f>1 + (1-'Life Table'!$D101) * (1+i)^(-1) * E102</f>
        <v>1.2936636952915412</v>
      </c>
      <c r="F101" s="6">
        <f>(1+i)^(-1) * 'Life Table'!$D101 + (1+i)^(-1) * (1-'Life Table'!$D101) * F102</f>
        <v>0.93839696689087893</v>
      </c>
      <c r="G101" s="6">
        <f xml:space="preserve"> (1+i)^(-2) * 'Life Table'!$D101 + (1+i)^(-2) * (1-'Life Table'!$D101) * G102</f>
        <v>0.88130591112211265</v>
      </c>
      <c r="H101" s="5">
        <f t="shared" si="3"/>
        <v>1.2936636952816323</v>
      </c>
      <c r="I101" s="6">
        <f xml:space="preserve"> 1 - i/(1+i)*H101</f>
        <v>0.93839696689135088</v>
      </c>
      <c r="J101" s="5">
        <f t="shared" si="4"/>
        <v>1.2936636952915412</v>
      </c>
      <c r="K101" s="6">
        <f xml:space="preserve"> 1 - i/(1+i)*J101</f>
        <v>0.93839696689087904</v>
      </c>
      <c r="L101" s="6">
        <f>(1+i)^(-5) * C106/C101</f>
        <v>1.0707446453168849E-4</v>
      </c>
      <c r="M101" s="6">
        <f xml:space="preserve"> (1+i)^(-10) * C111/C101</f>
        <v>9.8016172589934267E-12</v>
      </c>
      <c r="N101" s="6">
        <f xml:space="preserve"> (1+i)^(-20) * C121/C101</f>
        <v>1.0745479370649565E-46</v>
      </c>
      <c r="O101" s="7">
        <f t="shared" si="5"/>
        <v>112</v>
      </c>
    </row>
    <row r="102" spans="2:15" hidden="1" x14ac:dyDescent="0.25">
      <c r="B102" s="8">
        <v>113</v>
      </c>
      <c r="C102" s="9">
        <f>100000 * EXP(-Makeham_A*('Life Table'!$B102-$B$9) - Makeham_B/LN(Makeham_c) * (Makeham_c^'Life Table'!$B102 - Makeham_c^$B$9))</f>
        <v>0.33242143091907195</v>
      </c>
      <c r="D102" s="10">
        <f xml:space="preserve"> 1 - C103/'Life Table'!$C102</f>
        <v>0.79025924359830579</v>
      </c>
      <c r="E102" s="11">
        <f>1 + (1-'Life Table'!$D102) * (1+i)^(-1) * E103</f>
        <v>1.2374712726775228</v>
      </c>
      <c r="F102" s="12">
        <f>(1+i)^(-1) * 'Life Table'!$D102 + (1+i)^(-1) * (1-'Life Table'!$D102) * F103</f>
        <v>0.94107279653916553</v>
      </c>
      <c r="G102" s="12">
        <f xml:space="preserve"> (1+i)^(-2) * 'Life Table'!$D102 + (1+i)^(-2) * (1-'Life Table'!$D102) * G103</f>
        <v>0.88618346453661445</v>
      </c>
      <c r="H102" s="11">
        <f t="shared" si="3"/>
        <v>1.2374712726770705</v>
      </c>
      <c r="I102" s="12">
        <f xml:space="preserve"> 1 - i/(1+i)*H102</f>
        <v>0.94107279653918707</v>
      </c>
      <c r="J102" s="11">
        <f t="shared" si="4"/>
        <v>1.2374712726775228</v>
      </c>
      <c r="K102" s="12">
        <f xml:space="preserve"> 1 - i/(1+i)*J102</f>
        <v>0.94107279653916553</v>
      </c>
      <c r="L102" s="12">
        <f>(1+i)^(-5) * C107/C102</f>
        <v>3.5527411591192214E-5</v>
      </c>
      <c r="M102" s="12">
        <f xml:space="preserve"> (1+i)^(-10) * C112/C102</f>
        <v>4.4937806097474584E-13</v>
      </c>
      <c r="N102" s="12">
        <f xml:space="preserve"> (1+i)^(-20) * C122/C102</f>
        <v>2.4203836248620916E-52</v>
      </c>
      <c r="O102" s="24">
        <f t="shared" si="5"/>
        <v>113</v>
      </c>
    </row>
    <row r="103" spans="2:15" hidden="1" x14ac:dyDescent="0.25">
      <c r="B103" s="2">
        <v>114</v>
      </c>
      <c r="C103" s="3">
        <f>100000 * EXP(-Makeham_A*('Life Table'!$B103-$B$9) - Makeham_B/LN(Makeham_c) * (Makeham_c^'Life Table'!$B103 - Makeham_c^$B$9))</f>
        <v>6.972232236509969E-2</v>
      </c>
      <c r="D103" s="4">
        <f xml:space="preserve"> 1 - C104/'Life Table'!$C103</f>
        <v>0.82718423890410486</v>
      </c>
      <c r="E103" s="5">
        <f>1 + (1-'Life Table'!$D103) * (1+i)^(-1) * E104</f>
        <v>1.1888239586294582</v>
      </c>
      <c r="F103" s="6">
        <f>(1+i)^(-1) * 'Life Table'!$D103 + (1+i)^(-1) * (1-'Life Table'!$D103) * F104</f>
        <v>0.943389335303359</v>
      </c>
      <c r="G103" s="6">
        <f xml:space="preserve"> (1+i)^(-2) * 'Life Table'!$D103 + (1+i)^(-2) * (1-'Life Table'!$D103) * G104</f>
        <v>0.89042315502874347</v>
      </c>
      <c r="H103" s="5">
        <f t="shared" si="3"/>
        <v>1.188823958629444</v>
      </c>
      <c r="I103" s="6">
        <f xml:space="preserve"> 1 - i/(1+i)*H103</f>
        <v>0.94338933530335978</v>
      </c>
      <c r="J103" s="5">
        <f t="shared" si="4"/>
        <v>1.1888239586294582</v>
      </c>
      <c r="K103" s="6">
        <f xml:space="preserve"> 1 - i/(1+i)*J103</f>
        <v>0.94338933530335911</v>
      </c>
      <c r="L103" s="6">
        <f>(1+i)^(-5) * C108/C103</f>
        <v>1.0280874387538421E-5</v>
      </c>
      <c r="M103" s="6">
        <f xml:space="preserve"> (1+i)^(-10) * C113/C103</f>
        <v>1.4058174951436995E-14</v>
      </c>
      <c r="N103" s="6">
        <f xml:space="preserve"> (1+i)^(-20) * C123/C103</f>
        <v>1.0871069202404271E-58</v>
      </c>
      <c r="O103" s="7">
        <f t="shared" si="5"/>
        <v>114</v>
      </c>
    </row>
    <row r="104" spans="2:15" hidden="1" x14ac:dyDescent="0.25">
      <c r="B104" s="8">
        <v>115</v>
      </c>
      <c r="C104" s="9">
        <f>100000 * EXP(-Makeham_A*('Life Table'!$B104-$B$9) - Makeham_B/LN(Makeham_c) * (Makeham_c^'Life Table'!$B104 - Makeham_c^$B$9))</f>
        <v>1.2049116204898055E-2</v>
      </c>
      <c r="D104" s="10">
        <f xml:space="preserve"> 1 - C105/'Life Table'!$C104</f>
        <v>0.86098696309970102</v>
      </c>
      <c r="E104" s="11">
        <f>1 + (1-'Life Table'!$D104) * (1+i)^(-1) * E105</f>
        <v>1.1472631622466083</v>
      </c>
      <c r="F104" s="12">
        <f>(1+i)^(-1) * 'Life Table'!$D104 + (1+i)^(-1) * (1-'Life Table'!$D104) * F105</f>
        <v>0.94536842084539952</v>
      </c>
      <c r="G104" s="12">
        <f xml:space="preserve"> (1+i)^(-2) * 'Life Table'!$D104 + (1+i)^(-2) * (1-'Life Table'!$D104) * G105</f>
        <v>0.89405785985775366</v>
      </c>
      <c r="H104" s="11">
        <f t="shared" si="3"/>
        <v>1.1472631622466081</v>
      </c>
      <c r="I104" s="12">
        <f xml:space="preserve"> 1 - i/(1+i)*H104</f>
        <v>0.94536842084539963</v>
      </c>
      <c r="J104" s="11">
        <f t="shared" si="4"/>
        <v>1.1472631622466083</v>
      </c>
      <c r="K104" s="12">
        <f xml:space="preserve"> 1 - i/(1+i)*J104</f>
        <v>0.94536842084539963</v>
      </c>
      <c r="L104" s="12">
        <f>(1+i)^(-5) * C109/C104</f>
        <v>2.551046545672351E-6</v>
      </c>
      <c r="M104" s="12">
        <f xml:space="preserve"> (1+i)^(-10) * C114/C104</f>
        <v>2.8619717271378965E-16</v>
      </c>
      <c r="N104" s="12">
        <f xml:space="preserve"> (1+i)^(-20) * C124/C104</f>
        <v>7.9718007160427008E-66</v>
      </c>
      <c r="O104" s="24">
        <f t="shared" si="5"/>
        <v>115</v>
      </c>
    </row>
    <row r="105" spans="2:15" hidden="1" x14ac:dyDescent="0.25">
      <c r="B105" s="2">
        <v>116</v>
      </c>
      <c r="C105" s="3">
        <f>100000 * EXP(-Makeham_A*('Life Table'!$B105-$B$9) - Makeham_B/LN(Makeham_c) * (Makeham_c^'Life Table'!$B105 - Makeham_c^$B$9))</f>
        <v>1.6749842356074834E-3</v>
      </c>
      <c r="D105" s="4">
        <f xml:space="preserve"> 1 - C106/'Life Table'!$C105</f>
        <v>0.89115555618140285</v>
      </c>
      <c r="E105" s="5">
        <f>1 + (1-'Life Table'!$D105) * (1+i)^(-1) * E106</f>
        <v>1.1123152461580839</v>
      </c>
      <c r="F105" s="6">
        <f>(1+i)^(-1) * 'Life Table'!$D105 + (1+i)^(-1) * (1-'Life Table'!$D105) * F106</f>
        <v>0.94703260732580552</v>
      </c>
      <c r="G105" s="6">
        <f xml:space="preserve"> (1+i)^(-2) * 'Life Table'!$D105 + (1+i)^(-2) * (1-'Life Table'!$D105) * G106</f>
        <v>0.89712324954757006</v>
      </c>
      <c r="H105" s="5">
        <f t="shared" si="3"/>
        <v>1.1123152461580839</v>
      </c>
      <c r="I105" s="6">
        <f xml:space="preserve"> 1 - i/(1+i)*H105</f>
        <v>0.94703260732580552</v>
      </c>
      <c r="J105" s="5">
        <f t="shared" si="4"/>
        <v>1.1123152461580839</v>
      </c>
      <c r="K105" s="6">
        <f xml:space="preserve"> 1 - i/(1+i)*J105</f>
        <v>0.94703260732580552</v>
      </c>
      <c r="L105" s="6">
        <f>(1+i)^(-5) * C110/C105</f>
        <v>5.325348884043818E-7</v>
      </c>
      <c r="M105" s="6">
        <f xml:space="preserve"> (1+i)^(-10) * C115/C105</f>
        <v>3.594885377974917E-18</v>
      </c>
      <c r="N105" s="6">
        <f xml:space="preserve"> (1+i)^(-20) * C125/C105</f>
        <v>7.6231741965033065E-74</v>
      </c>
      <c r="O105" s="7">
        <f t="shared" si="5"/>
        <v>116</v>
      </c>
    </row>
    <row r="106" spans="2:15" hidden="1" x14ac:dyDescent="0.25">
      <c r="B106" s="8">
        <v>117</v>
      </c>
      <c r="C106" s="9">
        <f>100000 * EXP(-Makeham_A*('Life Table'!$B106-$B$9) - Makeham_B/LN(Makeham_c) * (Makeham_c^'Life Table'!$B106 - Makeham_c^$B$9))</f>
        <v>1.8231272752961455E-4</v>
      </c>
      <c r="D106" s="10">
        <f xml:space="preserve"> 1 - C107/'Life Table'!$C106</f>
        <v>0.91732349889465825</v>
      </c>
      <c r="E106" s="11">
        <f>1 + (1-'Life Table'!$D106) * (1+i)^(-1) * E107</f>
        <v>1.0834821174936111</v>
      </c>
      <c r="F106" s="12">
        <f>(1+i)^(-1) * 'Life Table'!$D106 + (1+i)^(-1) * (1-'Life Table'!$D106) * F107</f>
        <v>0.94840561345268515</v>
      </c>
      <c r="G106" s="12">
        <f xml:space="preserve"> (1+i)^(-2) * 'Life Table'!$D106 + (1+i)^(-2) * (1-'Life Table'!$D106) * G107</f>
        <v>0.89965847598058202</v>
      </c>
      <c r="H106" s="11">
        <f t="shared" si="3"/>
        <v>1.0834821174936111</v>
      </c>
      <c r="I106" s="12">
        <f xml:space="preserve"> 1 - i/(1+i)*H106</f>
        <v>0.94840561345268515</v>
      </c>
      <c r="J106" s="11">
        <f t="shared" si="4"/>
        <v>1.0834821174936111</v>
      </c>
      <c r="K106" s="12">
        <f xml:space="preserve"> 1 - i/(1+i)*J106</f>
        <v>0.94840561345268515</v>
      </c>
      <c r="L106" s="12">
        <f>(1+i)^(-5) * C111/C106</f>
        <v>9.1540194030974155E-8</v>
      </c>
      <c r="M106" s="12">
        <f xml:space="preserve"> (1+i)^(-10) * C116/C106</f>
        <v>2.624117030656883E-20</v>
      </c>
      <c r="N106" s="12">
        <f xml:space="preserve"> (1+i)^(-20) * C126/C106</f>
        <v>7.3842620660089788E-83</v>
      </c>
      <c r="O106" s="24">
        <f t="shared" si="5"/>
        <v>117</v>
      </c>
    </row>
    <row r="107" spans="2:15" hidden="1" x14ac:dyDescent="0.25">
      <c r="B107" s="2">
        <v>118</v>
      </c>
      <c r="C107" s="3">
        <f>100000 * EXP(-Makeham_A*('Life Table'!$B107-$B$9) - Makeham_B/LN(Makeham_c) * (Makeham_c^'Life Table'!$B107 - Makeham_c^$B$9))</f>
        <v>1.507297841912004E-5</v>
      </c>
      <c r="D107" s="4">
        <f xml:space="preserve"> 1 - C108/'Life Table'!$C107</f>
        <v>0.93930550316117889</v>
      </c>
      <c r="E107" s="5">
        <f>1 + (1-'Life Table'!$D107) * (1+i)^(-1) * E108</f>
        <v>1.0602314103327266</v>
      </c>
      <c r="F107" s="6">
        <f>(1+i)^(-1) * 'Life Table'!$D107 + (1+i)^(-1) * (1-'Life Table'!$D107) * F108</f>
        <v>0.94951278998415589</v>
      </c>
      <c r="G107" s="6">
        <f xml:space="preserve"> (1+i)^(-2) * 'Life Table'!$D107 + (1+i)^(-2) * (1-'Life Table'!$D107) * G108</f>
        <v>0.9017068922515975</v>
      </c>
      <c r="H107" s="5">
        <f t="shared" si="3"/>
        <v>1.0602314103327266</v>
      </c>
      <c r="I107" s="6">
        <f xml:space="preserve"> 1 - i/(1+i)*H107</f>
        <v>0.94951278998415589</v>
      </c>
      <c r="J107" s="5">
        <f t="shared" si="4"/>
        <v>1.0602314103327266</v>
      </c>
      <c r="K107" s="6">
        <f xml:space="preserve"> 1 - i/(1+i)*J107</f>
        <v>0.94951278998415589</v>
      </c>
      <c r="L107" s="6">
        <f>(1+i)^(-5) * C112/C107</f>
        <v>1.2648770086198836E-8</v>
      </c>
      <c r="M107" s="6">
        <f xml:space="preserve"> (1+i)^(-10) * C117/C107</f>
        <v>1.0407114266983557E-22</v>
      </c>
      <c r="N107" s="6">
        <f xml:space="preserve"> (1+i)^(-20) * C127/C107</f>
        <v>5.4546086221611385E-93</v>
      </c>
      <c r="O107" s="7">
        <f t="shared" si="5"/>
        <v>118</v>
      </c>
    </row>
    <row r="108" spans="2:15" hidden="1" x14ac:dyDescent="0.25">
      <c r="B108" s="8">
        <v>119</v>
      </c>
      <c r="C108" s="9">
        <f>100000 * EXP(-Makeham_A*('Life Table'!$B108-$B$9) - Makeham_B/LN(Makeham_c) * (Makeham_c^'Life Table'!$B108 - Makeham_c^$B$9))</f>
        <v>9.1484684101090046E-7</v>
      </c>
      <c r="D108" s="10">
        <f xml:space="preserve"> 1 - C109/'Life Table'!$C108</f>
        <v>0.95711833120772349</v>
      </c>
      <c r="E108" s="11">
        <f>1 + (1-'Life Table'!$D108) * (1+i)^(-1) * E109</f>
        <v>1.0419887163297443</v>
      </c>
      <c r="F108" s="12">
        <f>(1+i)^(-1) * 'Life Table'!$D108 + (1+i)^(-1) * (1-'Life Table'!$D108) * F109</f>
        <v>0.9503814896985836</v>
      </c>
      <c r="G108" s="12">
        <f xml:space="preserve"> (1+i)^(-2) * 'Life Table'!$D108 + (1+i)^(-2) * (1-'Life Table'!$D108) * G109</f>
        <v>0.90331658390385849</v>
      </c>
      <c r="H108" s="11">
        <f t="shared" si="3"/>
        <v>1.0419887163297443</v>
      </c>
      <c r="I108" s="12">
        <f xml:space="preserve"> 1 - i/(1+i)*H108</f>
        <v>0.9503814896985836</v>
      </c>
      <c r="J108" s="11">
        <f t="shared" si="4"/>
        <v>1.0419887163297443</v>
      </c>
      <c r="K108" s="12">
        <f xml:space="preserve"> 1 - i/(1+i)*J108</f>
        <v>0.9503814896985836</v>
      </c>
      <c r="L108" s="12">
        <f>(1+i)^(-5) * C113/C108</f>
        <v>1.3674104382091358E-9</v>
      </c>
      <c r="M108" s="12">
        <f xml:space="preserve"> (1+i)^(-10) * C118/C108</f>
        <v>2.079086169670242E-25</v>
      </c>
      <c r="N108" s="12">
        <f xml:space="preserve"> (1+i)^(-20) * C128/C108</f>
        <v>2.2331026819224708E-104</v>
      </c>
      <c r="O108" s="24">
        <f t="shared" si="5"/>
        <v>119</v>
      </c>
    </row>
    <row r="109" spans="2:15" hidden="1" x14ac:dyDescent="0.25">
      <c r="B109" s="2">
        <v>120</v>
      </c>
      <c r="C109" s="3">
        <f>100000 * EXP(-Makeham_A*('Life Table'!$B109-$B$9) - Makeham_B/LN(Makeham_c) * (Makeham_c^'Life Table'!$B109 - Makeham_c^$B$9))</f>
        <v>3.9230159231889923E-8</v>
      </c>
      <c r="D109" s="4">
        <f xml:space="preserve"> 1 - C110/'Life Table'!$C109</f>
        <v>0.9709808148275304</v>
      </c>
      <c r="E109" s="5">
        <f>1 + (1-'Life Table'!$D109) * (1+i)^(-1) * E110</f>
        <v>1.0281351772898442</v>
      </c>
      <c r="F109" s="6">
        <f>(1+i)^(-1) * 'Life Table'!$D109 + (1+i)^(-1) * (1-'Life Table'!$D109) * F110</f>
        <v>0.95104118203381682</v>
      </c>
      <c r="G109" s="6">
        <f xml:space="preserve"> (1+i)^(-2) * 'Life Table'!$D109 + (1+i)^(-2) * (1-'Life Table'!$D109) * G110</f>
        <v>0.90454041642303706</v>
      </c>
      <c r="H109" s="5">
        <f t="shared" si="3"/>
        <v>1.0281351772898442</v>
      </c>
      <c r="I109" s="6">
        <f xml:space="preserve"> 1 - i/(1+i)*H109</f>
        <v>0.95104118203381693</v>
      </c>
      <c r="J109" s="5">
        <f t="shared" si="4"/>
        <v>1.0281351772898442</v>
      </c>
      <c r="K109" s="6">
        <f xml:space="preserve"> 1 - i/(1+i)*J109</f>
        <v>0.95104118203381693</v>
      </c>
      <c r="L109" s="6">
        <f>(1+i)^(-5) * C114/C109</f>
        <v>1.1218814223491943E-10</v>
      </c>
      <c r="M109" s="6">
        <f xml:space="preserve"> (1+i)^(-10) * C119/C109</f>
        <v>1.9216836031402201E-28</v>
      </c>
      <c r="N109" s="6">
        <f xml:space="preserve"> (1+i)^(-20) * C129/C109</f>
        <v>3.5396456205864723E-117</v>
      </c>
      <c r="O109" s="7">
        <f t="shared" si="5"/>
        <v>120</v>
      </c>
    </row>
    <row r="110" spans="2:15" hidden="1" x14ac:dyDescent="0.25">
      <c r="B110" s="8">
        <v>121</v>
      </c>
      <c r="C110" s="9">
        <f>100000 * EXP(-Makeham_A*('Life Table'!$B110-$B$9) - Makeham_B/LN(Makeham_c) * (Makeham_c^'Life Table'!$B110 - Makeham_c^$B$9))</f>
        <v>1.1384272550956817E-9</v>
      </c>
      <c r="D110" s="10">
        <f xml:space="preserve"> 1 - C111/'Life Table'!$C110</f>
        <v>0.98129016197191965</v>
      </c>
      <c r="E110" s="11">
        <f>1 + (1-'Life Table'!$D110) * (1+i)^(-1) * E111</f>
        <v>1.0180139786406774</v>
      </c>
      <c r="F110" s="12">
        <f>(1+i)^(-1) * 'Life Table'!$D110 + (1+i)^(-1) * (1-'Life Table'!$D110) * F111</f>
        <v>0.95152314387425341</v>
      </c>
      <c r="G110" s="12">
        <f xml:space="preserve"> (1+i)^(-2) * 'Life Table'!$D110 + (1+i)^(-2) * (1-'Life Table'!$D110) * G111</f>
        <v>0.90543528781762561</v>
      </c>
      <c r="H110" s="11">
        <f t="shared" si="3"/>
        <v>1.0180139786406774</v>
      </c>
      <c r="I110" s="12">
        <f xml:space="preserve"> 1 - i/(1+i)*H110</f>
        <v>0.95152314387425341</v>
      </c>
      <c r="J110" s="23"/>
      <c r="K110" s="23"/>
      <c r="L110" s="23">
        <f>(1+i)^(-5) * C115/C110</f>
        <v>6.7505161750926087E-12</v>
      </c>
      <c r="M110" s="23">
        <f xml:space="preserve"> (1+i)^(-10) * C120/C110</f>
        <v>7.4688140082807067E-32</v>
      </c>
      <c r="N110" s="23"/>
      <c r="O110" s="24">
        <f t="shared" si="5"/>
        <v>121</v>
      </c>
    </row>
    <row r="111" spans="2:15" hidden="1" x14ac:dyDescent="0.25">
      <c r="B111" s="2">
        <v>122</v>
      </c>
      <c r="C111" s="3">
        <f>100000 * EXP(-Makeham_A*('Life Table'!$B111-$B$9) - Makeham_B/LN(Makeham_c) * (Makeham_c^'Life Table'!$B111 - Makeham_c^$B$9))</f>
        <v>2.1299789549592355E-11</v>
      </c>
      <c r="D111" s="4">
        <f xml:space="preserve"> 1 - C112/'Life Table'!$C111</f>
        <v>0.9885759904151068</v>
      </c>
      <c r="E111" s="5">
        <f>1 + (1-'Life Table'!$D111) * (1+i)^(-1) * E112</f>
        <v>1.0109482265064822</v>
      </c>
      <c r="F111" s="6">
        <f>(1+i)^(-1) * 'Life Table'!$D111 + (1+i)^(-1) * (1-'Life Table'!$D111) * F112</f>
        <v>0.95185960826159599</v>
      </c>
      <c r="G111" s="6">
        <f xml:space="preserve"> (1+i)^(-2) * 'Life Table'!$D111 + (1+i)^(-2) * (1-'Life Table'!$D111) * G112</f>
        <v>0.90606037431057196</v>
      </c>
      <c r="H111" s="5">
        <f t="shared" si="3"/>
        <v>1.0109482265064822</v>
      </c>
      <c r="I111" s="6">
        <f xml:space="preserve"> 1 - i/(1+i)*H111</f>
        <v>0.9518596082615961</v>
      </c>
      <c r="J111" s="22"/>
      <c r="K111" s="22"/>
      <c r="L111" s="22">
        <f>(1+i)^(-5) * C116/C111</f>
        <v>2.8666282155453686E-13</v>
      </c>
      <c r="M111" s="22">
        <f xml:space="preserve"> (1+i)^(-10) * C121/C111</f>
        <v>1.096296568894292E-35</v>
      </c>
      <c r="N111" s="22"/>
      <c r="O111" s="7">
        <f t="shared" si="5"/>
        <v>122</v>
      </c>
    </row>
    <row r="112" spans="2:15" hidden="1" x14ac:dyDescent="0.25">
      <c r="B112" s="8">
        <v>123</v>
      </c>
      <c r="C112" s="9">
        <f>100000 * EXP(-Makeham_A*('Life Table'!$B112-$B$9) - Makeham_B/LN(Makeham_c) * (Makeham_c^'Life Table'!$B112 - Makeham_c^$B$9))</f>
        <v>2.4332899997075087E-13</v>
      </c>
      <c r="D112" s="10">
        <f xml:space="preserve"> 1 - C113/'Life Table'!$C112</f>
        <v>0.99343854873211657</v>
      </c>
      <c r="E112" s="11">
        <f>1 + (1-'Life Table'!$D112) * (1+i)^(-1) * E113</f>
        <v>1.0062699743361376</v>
      </c>
      <c r="F112" s="12">
        <f>(1+i)^(-1) * 'Life Table'!$D112 + (1+i)^(-1) * (1-'Life Table'!$D112) * F113</f>
        <v>0.95208238217446961</v>
      </c>
      <c r="G112" s="12">
        <f xml:space="preserve"> (1+i)^(-2) * 'Life Table'!$D112 + (1+i)^(-2) * (1-'Life Table'!$D112) * G113</f>
        <v>0.90647440247186106</v>
      </c>
      <c r="H112" s="11">
        <f t="shared" si="3"/>
        <v>1.0062699743361376</v>
      </c>
      <c r="I112" s="12">
        <f xml:space="preserve"> 1 - i/(1+i)*H112</f>
        <v>0.95208238217446961</v>
      </c>
      <c r="J112" s="23"/>
      <c r="K112" s="23"/>
      <c r="L112" s="23">
        <f>(1+i)^(-5) * C117/C112</f>
        <v>8.2277677561226552E-15</v>
      </c>
      <c r="M112" s="23">
        <f xml:space="preserve"> (1+i)^(-10) * C122/C112</f>
        <v>5.3860742992482491E-40</v>
      </c>
      <c r="N112" s="23"/>
      <c r="O112" s="24">
        <f t="shared" si="5"/>
        <v>123</v>
      </c>
    </row>
    <row r="113" spans="2:15" hidden="1" x14ac:dyDescent="0.25">
      <c r="B113" s="2">
        <v>124</v>
      </c>
      <c r="C113" s="3">
        <f>100000 * EXP(-Makeham_A*('Life Table'!$B113-$B$9) - Makeham_B/LN(Makeham_c) * (Makeham_c^'Life Table'!$B113 - Makeham_c^$B$9))</f>
        <v>1.5965913753708916E-15</v>
      </c>
      <c r="D113" s="4">
        <f xml:space="preserve"> 1 - C114/'Life Table'!$C113</f>
        <v>0.99648180632287753</v>
      </c>
      <c r="E113" s="5">
        <f>1 + (1-'Life Table'!$D113) * (1+i)^(-1) * E114</f>
        <v>1.0033562369302049</v>
      </c>
      <c r="F113" s="6">
        <f>(1+i)^(-1) * 'Life Table'!$D113 + (1+i)^(-1) * (1-'Life Table'!$D113) * F114</f>
        <v>0.95222113157475208</v>
      </c>
      <c r="G113" s="6">
        <f xml:space="preserve"> (1+i)^(-2) * 'Life Table'!$D113 + (1+i)^(-2) * (1-'Life Table'!$D113) * G114</f>
        <v>0.90673232951244886</v>
      </c>
      <c r="H113" s="5">
        <f t="shared" si="3"/>
        <v>1.0033562369302049</v>
      </c>
      <c r="I113" s="6">
        <f xml:space="preserve"> 1 - i/(1+i)*H113</f>
        <v>0.95222113157475219</v>
      </c>
      <c r="J113" s="22"/>
      <c r="K113" s="22"/>
      <c r="L113" s="22">
        <f>(1+i)^(-5) * C118/C113</f>
        <v>1.5204550964179929E-16</v>
      </c>
      <c r="M113" s="22">
        <f xml:space="preserve"> (1+i)^(-10) * C123/C113</f>
        <v>7.7329164276000537E-45</v>
      </c>
      <c r="N113" s="22"/>
      <c r="O113" s="7">
        <f t="shared" si="5"/>
        <v>124</v>
      </c>
    </row>
    <row r="114" spans="2:15" hidden="1" x14ac:dyDescent="0.25">
      <c r="B114" s="8">
        <v>125</v>
      </c>
      <c r="C114" s="9">
        <f>100000 * EXP(-Makeham_A*('Life Table'!$B114-$B$9) - Makeham_B/LN(Makeham_c) * (Makeham_c^'Life Table'!$B114 - Makeham_c^$B$9))</f>
        <v>5.6171176817781158E-18</v>
      </c>
      <c r="D114" s="10">
        <f xml:space="preserve"> 1 - C115/'Life Table'!$C114</f>
        <v>0.9982538753651472</v>
      </c>
      <c r="E114" s="11">
        <f>1 + (1-'Life Table'!$D114) * (1+i)^(-1) * E115</f>
        <v>1.0016642345845703</v>
      </c>
      <c r="F114" s="12">
        <f>(1+i)^(-1) * 'Life Table'!$D114 + (1+i)^(-1) * (1-'Life Table'!$D114) * F115</f>
        <v>0.95230170311502049</v>
      </c>
      <c r="G114" s="12">
        <f xml:space="preserve"> (1+i)^(-2) * 'Life Table'!$D114 + (1+i)^(-2) * (1-'Life Table'!$D114) * G115</f>
        <v>0.90688212685521441</v>
      </c>
      <c r="H114" s="11">
        <f t="shared" si="3"/>
        <v>1.0016642345845703</v>
      </c>
      <c r="I114" s="12">
        <f xml:space="preserve"> 1 - i/(1+i)*H114</f>
        <v>0.95230170311502049</v>
      </c>
      <c r="J114" s="23"/>
      <c r="K114" s="23"/>
      <c r="L114" s="23">
        <f>(1+i)^(-5) * C119/C114</f>
        <v>1.7129115117320135E-18</v>
      </c>
      <c r="M114" s="23">
        <f xml:space="preserve"> (1+i)^(-10) * C124/C114</f>
        <v>2.785422595356967E-50</v>
      </c>
      <c r="N114" s="23"/>
      <c r="O114" s="24">
        <f t="shared" si="5"/>
        <v>125</v>
      </c>
    </row>
    <row r="115" spans="2:15" hidden="1" x14ac:dyDescent="0.25">
      <c r="B115" s="2">
        <v>126</v>
      </c>
      <c r="C115" s="3">
        <f>100000 * EXP(-Makeham_A*('Life Table'!$B115-$B$9) - Makeham_B/LN(Makeham_c) * (Makeham_c^'Life Table'!$B115 - Makeham_c^$B$9))</f>
        <v>9.8081875610200686E-21</v>
      </c>
      <c r="D115" s="4">
        <f xml:space="preserve"> 1 - C116/'Life Table'!$C115</f>
        <v>0.99920548076312332</v>
      </c>
      <c r="E115" s="5">
        <f>1 + (1-'Life Table'!$D115) * (1+i)^(-1) * E116</f>
        <v>1.0007569213100611</v>
      </c>
      <c r="F115" s="6">
        <f>(1+i)^(-1) * 'Life Table'!$D115 + (1+i)^(-1) * (1-'Life Table'!$D115) * F116</f>
        <v>0.95234490850904463</v>
      </c>
      <c r="G115" s="6">
        <f xml:space="preserve"> (1+i)^(-2) * 'Life Table'!$D115 + (1+i)^(-2) * (1-'Life Table'!$D115) * G116</f>
        <v>0.90696245910318507</v>
      </c>
      <c r="H115" s="5">
        <f t="shared" si="3"/>
        <v>1.0007569213100611</v>
      </c>
      <c r="I115" s="6">
        <f xml:space="preserve"> 1 - i/(1+i)*H115</f>
        <v>0.95234490850904474</v>
      </c>
      <c r="J115" s="22"/>
      <c r="K115" s="22"/>
      <c r="L115" s="22">
        <f>(1+i)^(-5) * C120/C115</f>
        <v>1.1064063568706645E-20</v>
      </c>
      <c r="M115" s="22">
        <f xml:space="preserve"> (1+i)^(-10) * C125/C115</f>
        <v>2.1205611292111963E-56</v>
      </c>
      <c r="N115" s="22"/>
      <c r="O115" s="7">
        <f t="shared" si="5"/>
        <v>126</v>
      </c>
    </row>
    <row r="116" spans="2:15" hidden="1" x14ac:dyDescent="0.25">
      <c r="B116" s="8">
        <v>127</v>
      </c>
      <c r="C116" s="9">
        <f>100000 * EXP(-Makeham_A*('Life Table'!$B116-$B$9) - Makeham_B/LN(Makeham_c) * (Makeham_c^'Life Table'!$B116 - Makeham_c^$B$9))</f>
        <v>7.792793696124474E-24</v>
      </c>
      <c r="D116" s="10">
        <f xml:space="preserve"> 1 - C117/'Life Table'!$C116</f>
        <v>0.99967210921458705</v>
      </c>
      <c r="E116" s="11">
        <f>1 + (1-'Life Table'!$D116) * (1+i)^(-1) * E117</f>
        <v>1.0003123130012093</v>
      </c>
      <c r="F116" s="12">
        <f>(1+i)^(-1) * 'Life Table'!$D116 + (1+i)^(-1) * (1-'Life Table'!$D116) * F117</f>
        <v>0.95236608033327563</v>
      </c>
      <c r="G116" s="12">
        <f xml:space="preserve"> (1+i)^(-2) * 'Life Table'!$D116 + (1+i)^(-2) * (1-'Life Table'!$D116) * G117</f>
        <v>0.90700182536953045</v>
      </c>
      <c r="H116" s="11">
        <f t="shared" si="3"/>
        <v>1.0003123130012093</v>
      </c>
      <c r="I116" s="12">
        <f xml:space="preserve"> 1 - i/(1+i)*H116</f>
        <v>0.95236608033327574</v>
      </c>
      <c r="J116" s="23"/>
      <c r="K116" s="23"/>
      <c r="L116" s="23">
        <f>(1+i)^(-5) * C121/C116</f>
        <v>3.8243416531980387E-23</v>
      </c>
      <c r="M116" s="23">
        <f xml:space="preserve"> (1+i)^(-10) * C126/C116</f>
        <v>2.8139987583406337E-63</v>
      </c>
      <c r="N116" s="23"/>
      <c r="O116" s="24">
        <f t="shared" si="5"/>
        <v>127</v>
      </c>
    </row>
    <row r="117" spans="2:15" hidden="1" x14ac:dyDescent="0.25">
      <c r="B117" s="2">
        <v>128</v>
      </c>
      <c r="C117" s="3">
        <f>100000 * EXP(-Makeham_A*('Life Table'!$B117-$B$9) - Makeham_B/LN(Makeham_c) * (Makeham_c^'Life Table'!$B117 - Makeham_c^$B$9))</f>
        <v>2.5551852455836366E-27</v>
      </c>
      <c r="D117" s="4">
        <f xml:space="preserve"> 1 - C118/'Life Table'!$C117</f>
        <v>0.99987874728218074</v>
      </c>
      <c r="E117" s="5">
        <f>1 + (1-'Life Table'!$D117) * (1+i)^(-1) * E118</f>
        <v>1.0001154831379935</v>
      </c>
      <c r="F117" s="6">
        <f>(1+i)^(-1) * 'Life Table'!$D117 + (1+i)^(-1) * (1-'Life Table'!$D117) * F118</f>
        <v>0.95237545318390504</v>
      </c>
      <c r="G117" s="6">
        <f xml:space="preserve"> (1+i)^(-2) * 'Life Table'!$D117 + (1+i)^(-2) * (1-'Life Table'!$D117) * G118</f>
        <v>0.90701925321207866</v>
      </c>
      <c r="H117" s="5">
        <f t="shared" si="3"/>
        <v>1.0001154831379935</v>
      </c>
      <c r="I117" s="6">
        <f xml:space="preserve"> 1 - i/(1+i)*H117</f>
        <v>0.95237545318390504</v>
      </c>
      <c r="J117" s="22"/>
      <c r="K117" s="22"/>
      <c r="L117" s="22">
        <f>(1+i)^(-5) * C122/C117</f>
        <v>6.5462157645859982E-26</v>
      </c>
      <c r="M117" s="22">
        <f xml:space="preserve"> (1+i)^(-10) * C127/C117</f>
        <v>5.2412306449500769E-71</v>
      </c>
      <c r="N117" s="22"/>
      <c r="O117" s="7">
        <f t="shared" si="5"/>
        <v>128</v>
      </c>
    </row>
    <row r="118" spans="2:15" hidden="1" x14ac:dyDescent="0.25">
      <c r="B118" s="8">
        <v>129</v>
      </c>
      <c r="C118" s="9">
        <f>100000 * EXP(-Makeham_A*('Life Table'!$B118-$B$9) - Makeham_B/LN(Makeham_c) * (Makeham_c^'Life Table'!$B118 - Makeham_c^$B$9))</f>
        <v>3.0982315555857142E-31</v>
      </c>
      <c r="D118" s="10">
        <f xml:space="preserve"> 1 - C119/'Life Table'!$C118</f>
        <v>0.99996036479824857</v>
      </c>
      <c r="E118" s="11">
        <f>1 + (1-'Life Table'!$D118) * (1+i)^(-1) * E119</f>
        <v>1.0000377482166618</v>
      </c>
      <c r="F118" s="12">
        <f>(1+i)^(-1) * 'Life Table'!$D118 + (1+i)^(-1) * (1-'Life Table'!$D118) * F119</f>
        <v>0.95237915484682556</v>
      </c>
      <c r="G118" s="12">
        <f xml:space="preserve"> (1+i)^(-2) * 'Life Table'!$D118 + (1+i)^(-2) * (1-'Life Table'!$D118) * G119</f>
        <v>0.90702613610605443</v>
      </c>
      <c r="H118" s="11">
        <f t="shared" si="3"/>
        <v>1.0000377482166618</v>
      </c>
      <c r="I118" s="12">
        <f xml:space="preserve"> 1 - i/(1+i)*H118</f>
        <v>0.95237915484682567</v>
      </c>
      <c r="J118" s="23"/>
      <c r="K118" s="23"/>
      <c r="L118" s="23">
        <f>(1+i)^(-5) * C123/C118</f>
        <v>5.0859222648652112E-29</v>
      </c>
      <c r="M118" s="23">
        <f xml:space="preserve"> (1+i)^(-10) * C128/C118</f>
        <v>1.0740789460768993E-79</v>
      </c>
      <c r="N118" s="23"/>
      <c r="O118" s="24">
        <f t="shared" si="5"/>
        <v>129</v>
      </c>
    </row>
    <row r="119" spans="2:15" hidden="1" x14ac:dyDescent="0.25">
      <c r="B119" s="2">
        <v>130</v>
      </c>
      <c r="C119" s="3">
        <f>100000 * EXP(-Makeham_A*('Life Table'!$B119-$B$9) - Makeham_B/LN(Makeham_c) * (Makeham_c^'Life Table'!$B119 - Makeham_c^$B$9))</f>
        <v>1.2279903277816691E-35</v>
      </c>
      <c r="D119" s="4">
        <f xml:space="preserve"> 1 - C120/'Life Table'!$C119</f>
        <v>0.99998872140573136</v>
      </c>
      <c r="E119" s="5">
        <f>1 + (1-'Life Table'!$D119) * (1+i)^(-1) * E120</f>
        <v>1.0000107415464456</v>
      </c>
      <c r="F119" s="6">
        <f>(1+i)^(-1) * 'Life Table'!$D119 + (1+i)^(-1) * (1-'Life Table'!$D119) * F120</f>
        <v>0.95238044087874063</v>
      </c>
      <c r="G119" s="6">
        <f xml:space="preserve"> (1+i)^(-2) * 'Life Table'!$D119 + (1+i)^(-2) * (1-'Life Table'!$D119) * G120</f>
        <v>0.90702852736562045</v>
      </c>
      <c r="H119" s="5">
        <f t="shared" si="3"/>
        <v>1.0000107415464456</v>
      </c>
      <c r="I119" s="6">
        <f xml:space="preserve"> 1 - i/(1+i)*H119</f>
        <v>0.95238044087874063</v>
      </c>
      <c r="J119" s="22"/>
      <c r="K119" s="22"/>
      <c r="L119" s="22">
        <f>(1+i)^(-5) * C124/C119</f>
        <v>1.6261333853378578E-32</v>
      </c>
      <c r="M119" s="22">
        <f xml:space="preserve"> (1+i)^(-10) * C129/C119</f>
        <v>1.8419502642382667E-89</v>
      </c>
      <c r="N119" s="22"/>
      <c r="O119" s="7">
        <f t="shared" si="5"/>
        <v>130</v>
      </c>
    </row>
    <row r="120" spans="2:15" hidden="1" x14ac:dyDescent="0.25">
      <c r="B120" s="8">
        <v>131</v>
      </c>
      <c r="C120" s="9">
        <f>100000 * EXP(-Makeham_A*('Life Table'!$B120-$B$9) - Makeham_B/LN(Makeham_c) * (Makeham_c^'Life Table'!$B120 - Makeham_c^$B$9))</f>
        <v>1.3850004672855078E-40</v>
      </c>
      <c r="D120" s="10">
        <f xml:space="preserve"> 1 - C121/'Life Table'!$C120</f>
        <v>0.99999725370973058</v>
      </c>
      <c r="E120" s="11">
        <f>1 + (1-'Life Table'!$D120) * (1+i)^(-1) * E121</f>
        <v>1.0000026155159403</v>
      </c>
      <c r="F120" s="12">
        <f>(1+i)^(-1) * 'Life Table'!$D120 + (1+i)^(-1) * (1-'Life Table'!$D120) * F121</f>
        <v>0.95238082783257427</v>
      </c>
      <c r="G120" s="12">
        <f xml:space="preserve"> (1+i)^(-2) * 'Life Table'!$D120 + (1+i)^(-2) * (1-'Life Table'!$D120) * G121</f>
        <v>0.90702924687150233</v>
      </c>
      <c r="H120" s="23"/>
      <c r="I120" s="23"/>
      <c r="J120" s="23"/>
      <c r="K120" s="23"/>
      <c r="L120" s="23">
        <f>(1+i)^(-5) * C125/C120</f>
        <v>1.9166205219653155E-36</v>
      </c>
      <c r="M120" s="23"/>
      <c r="N120" s="23"/>
      <c r="O120" s="24">
        <f t="shared" si="5"/>
        <v>131</v>
      </c>
    </row>
    <row r="121" spans="2:15" hidden="1" x14ac:dyDescent="0.25">
      <c r="B121" s="2">
        <v>132</v>
      </c>
      <c r="C121" s="3">
        <f>100000 * EXP(-Makeham_A*('Life Table'!$B121-$B$9) - Makeham_B/LN(Makeham_c) * (Makeham_c^'Life Table'!$B121 - Makeham_c^$B$9))</f>
        <v>3.8036133063933382E-46</v>
      </c>
      <c r="D121" s="4">
        <f xml:space="preserve"> 1 - C122/'Life Table'!$C121</f>
        <v>0.99999943874161279</v>
      </c>
      <c r="E121" s="5">
        <f>1 + (1-'Life Table'!$D121) * (1+i)^(-1) * E122</f>
        <v>1.0000005345318452</v>
      </c>
      <c r="F121" s="6">
        <f>(1+i)^(-1) * 'Life Table'!$D121 + (1+i)^(-1) * (1-'Life Table'!$D121) * F122</f>
        <v>0.95238092692705489</v>
      </c>
      <c r="G121" s="6">
        <f xml:space="preserve"> (1+i)^(-2) * 'Life Table'!$D121 + (1+i)^(-2) * (1-'Life Table'!$D121) * G122</f>
        <v>0.90702943112880763</v>
      </c>
      <c r="H121" s="22"/>
      <c r="I121" s="22"/>
      <c r="J121" s="22"/>
      <c r="K121" s="22"/>
      <c r="L121" s="22">
        <f>(1+i)^(-5) * C126/C121</f>
        <v>7.3581259561040424E-41</v>
      </c>
      <c r="M121" s="22"/>
      <c r="N121" s="22"/>
      <c r="O121" s="7">
        <f t="shared" si="5"/>
        <v>132</v>
      </c>
    </row>
    <row r="122" spans="2:15" hidden="1" x14ac:dyDescent="0.25">
      <c r="B122" s="8">
        <v>133</v>
      </c>
      <c r="C122" s="9">
        <f>100000 * EXP(-Makeham_A*('Life Table'!$B122-$B$9) - Makeham_B/LN(Makeham_c) * (Makeham_c^'Life Table'!$B122 - Makeham_c^$B$9))</f>
        <v>2.1348098700352066E-52</v>
      </c>
      <c r="D122" s="10">
        <f xml:space="preserve"> 1 - C123/'Life Table'!$C122</f>
        <v>0.99999990579566589</v>
      </c>
      <c r="E122" s="11">
        <f>1 + (1-'Life Table'!$D122) * (1+i)^(-1) * E123</f>
        <v>1.0000000897184145</v>
      </c>
      <c r="F122" s="12">
        <f>(1+i)^(-1) * 'Life Table'!$D122 + (1+i)^(-1) * (1-'Life Table'!$D122) * F123</f>
        <v>0.95238094810864682</v>
      </c>
      <c r="G122" s="12">
        <f xml:space="preserve"> (1+i)^(-2) * 'Life Table'!$D122 + (1+i)^(-2) * (1-'Life Table'!$D122) * G123</f>
        <v>0.90702947051408045</v>
      </c>
      <c r="H122" s="23"/>
      <c r="I122" s="23"/>
      <c r="J122" s="23"/>
      <c r="K122" s="23"/>
      <c r="L122" s="23">
        <f>(1+i)^(-5) * C127/C122</f>
        <v>8.0065045721595572E-46</v>
      </c>
      <c r="M122" s="23"/>
      <c r="N122" s="23"/>
      <c r="O122" s="24">
        <f t="shared" si="5"/>
        <v>133</v>
      </c>
    </row>
    <row r="123" spans="2:15" hidden="1" x14ac:dyDescent="0.25">
      <c r="B123" s="2">
        <v>134</v>
      </c>
      <c r="C123" s="3">
        <f>100000 * EXP(-Makeham_A*('Life Table'!$B123-$B$9) - Makeham_B/LN(Makeham_c) * (Makeham_c^'Life Table'!$B123 - Makeham_c^$B$9))</f>
        <v>2.0110834231974154E-59</v>
      </c>
      <c r="D123" s="4">
        <f xml:space="preserve"> 1 - C124/'Life Table'!$C123</f>
        <v>0.99999998732734763</v>
      </c>
      <c r="E123" s="5">
        <f>1 + (1-'Life Table'!$D123) * (1+i)^(-1) * E124</f>
        <v>1.0000000120691928</v>
      </c>
      <c r="F123" s="6">
        <f>(1+i)^(-1) * 'Life Table'!$D123 + (1+i)^(-1) * (1-'Life Table'!$D123) * F124</f>
        <v>0.95238095180622884</v>
      </c>
      <c r="G123" s="6">
        <f xml:space="preserve"> (1+i)^(-2) * 'Life Table'!$D123 + (1+i)^(-2) * (1-'Life Table'!$D123) * G124</f>
        <v>0.90702947738940298</v>
      </c>
      <c r="H123" s="22"/>
      <c r="I123" s="22"/>
      <c r="J123" s="22"/>
      <c r="K123" s="22"/>
      <c r="L123" s="22">
        <f>(1+i)^(-5) * C128/C123</f>
        <v>2.1118666195448914E-51</v>
      </c>
      <c r="M123" s="22"/>
      <c r="N123" s="22"/>
      <c r="O123" s="7">
        <f t="shared" si="5"/>
        <v>134</v>
      </c>
    </row>
    <row r="124" spans="2:15" hidden="1" x14ac:dyDescent="0.25">
      <c r="B124" s="8">
        <v>135</v>
      </c>
      <c r="C124" s="9">
        <f>100000 * EXP(-Makeham_A*('Life Table'!$B124-$B$9) - Makeham_B/LN(Makeham_c) * (Makeham_c^'Life Table'!$B124 - Makeham_c^$B$9))</f>
        <v>2.5485761093061541E-67</v>
      </c>
      <c r="D124" s="10">
        <f xml:space="preserve"> 1 - C125/'Life Table'!$C124</f>
        <v>0.99999999867066347</v>
      </c>
      <c r="E124" s="11">
        <f>1 + (1-'Life Table'!$D124) * (1+i)^(-1) * E125</f>
        <v>1.0000000012660348</v>
      </c>
      <c r="F124" s="12">
        <f>(1+i)^(-1) * 'Life Table'!$D124 + (1+i)^(-1) * (1-'Life Table'!$D124) * F125</f>
        <v>0.95238095232066489</v>
      </c>
      <c r="G124" s="12">
        <f xml:space="preserve"> (1+i)^(-2) * 'Life Table'!$D124 + (1+i)^(-2) * (1-'Life Table'!$D124) * G125</f>
        <v>0.90702947834595093</v>
      </c>
      <c r="H124" s="23"/>
      <c r="I124" s="23"/>
      <c r="J124" s="23"/>
      <c r="K124" s="23"/>
      <c r="L124" s="23">
        <f>(1+i)^(-5) * C129/C124</f>
        <v>1.1327178205959832E-57</v>
      </c>
      <c r="M124" s="23"/>
      <c r="N124" s="23"/>
      <c r="O124" s="24">
        <f t="shared" si="5"/>
        <v>135</v>
      </c>
    </row>
    <row r="125" spans="2:15" hidden="1" x14ac:dyDescent="0.25">
      <c r="B125" s="2">
        <v>136</v>
      </c>
      <c r="C125" s="3">
        <f>100000 * EXP(-Makeham_A*('Life Table'!$B125-$B$9) - Makeham_B/LN(Makeham_c) * (Makeham_c^'Life Table'!$B125 - Makeham_c^$B$9))</f>
        <v>3.3879153398226861E-76</v>
      </c>
      <c r="D125" s="4">
        <f xml:space="preserve"> 1 - C126/'Life Table'!$C125</f>
        <v>0.99999999989456678</v>
      </c>
      <c r="E125" s="5">
        <f>1 + (1-'Life Table'!$D125) * (1+i)^(-1) * E126</f>
        <v>1.0000000001004126</v>
      </c>
      <c r="F125" s="6">
        <f>(1+i)^(-1) * 'Life Table'!$D125 + (1+i)^(-1) * (1-'Life Table'!$D125) * F126</f>
        <v>0.95238095237617082</v>
      </c>
      <c r="G125" s="6">
        <f xml:space="preserve"> (1+i)^(-2) * 'Life Table'!$D125 + (1+i)^(-2) * (1-'Life Table'!$D125) * G126</f>
        <v>0.90702947844915893</v>
      </c>
      <c r="H125" s="22"/>
      <c r="I125" s="22"/>
      <c r="J125" s="22"/>
      <c r="K125" s="22"/>
      <c r="L125" s="22"/>
      <c r="M125" s="22"/>
      <c r="N125" s="22"/>
      <c r="O125" s="7">
        <f t="shared" si="5"/>
        <v>136</v>
      </c>
    </row>
    <row r="126" spans="2:15" hidden="1" x14ac:dyDescent="0.25">
      <c r="B126" s="8">
        <v>137</v>
      </c>
      <c r="C126" s="9">
        <f>100000 * EXP(-Makeham_A*('Life Table'!$B126-$B$9) - Makeham_B/LN(Makeham_c) * (Makeham_c^'Life Table'!$B126 - Makeham_c^$B$9))</f>
        <v>3.5719886577498474E-86</v>
      </c>
      <c r="D126" s="10">
        <f xml:space="preserve"> 1 - C127/'Life Table'!$C126</f>
        <v>0.99999999999389289</v>
      </c>
      <c r="E126" s="11">
        <f>1 + (1-'Life Table'!$D126) * (1+i)^(-1) * E127</f>
        <v>1.0000000000058162</v>
      </c>
      <c r="F126" s="12">
        <f>(1+i)^(-1) * 'Life Table'!$D126 + (1+i)^(-1) * (1-'Life Table'!$D126) * F127</f>
        <v>0.95238095238067533</v>
      </c>
      <c r="G126" s="12">
        <f xml:space="preserve"> (1+i)^(-2) * 'Life Table'!$D126 + (1+i)^(-2) * (1-'Life Table'!$D126) * G127</f>
        <v>0.90702947845753479</v>
      </c>
      <c r="H126" s="23"/>
      <c r="I126" s="23"/>
      <c r="J126" s="23"/>
      <c r="K126" s="23"/>
      <c r="L126" s="23"/>
      <c r="M126" s="23"/>
      <c r="N126" s="23"/>
      <c r="O126" s="24">
        <f t="shared" si="5"/>
        <v>137</v>
      </c>
    </row>
    <row r="127" spans="2:15" hidden="1" x14ac:dyDescent="0.25">
      <c r="B127" s="2">
        <v>138</v>
      </c>
      <c r="C127" s="3">
        <f>100000 * EXP(-Makeham_A*('Life Table'!$B127-$B$9) - Makeham_B/LN(Makeham_c) * (Makeham_c^'Life Table'!$B127 - Makeham_c^$B$9))</f>
        <v>2.1814670290039752E-97</v>
      </c>
      <c r="D127" s="4">
        <f xml:space="preserve"> 1 - C128/'Life Table'!$C127</f>
        <v>0.99999999999975153</v>
      </c>
      <c r="E127" s="5">
        <f>1 + (1-'Life Table'!$D127) * (1+i)^(-1) * E128</f>
        <v>1.0000000000002367</v>
      </c>
      <c r="F127" s="6">
        <f>(1+i)^(-1) * 'Life Table'!$D127 + (1+i)^(-1) * (1-'Life Table'!$D127) * F128</f>
        <v>0.95238095238094111</v>
      </c>
      <c r="G127" s="6">
        <f xml:space="preserve"> (1+i)^(-2) * 'Life Table'!$D127 + (1+i)^(-2) * (1-'Life Table'!$D127) * G128</f>
        <v>0.90702947845802884</v>
      </c>
      <c r="H127" s="22"/>
      <c r="I127" s="22"/>
      <c r="J127" s="22"/>
      <c r="K127" s="22"/>
      <c r="L127" s="22"/>
      <c r="M127" s="22"/>
      <c r="N127" s="22"/>
      <c r="O127" s="7">
        <f t="shared" si="5"/>
        <v>138</v>
      </c>
    </row>
    <row r="128" spans="2:15" hidden="1" x14ac:dyDescent="0.25">
      <c r="B128" s="8">
        <v>139</v>
      </c>
      <c r="C128" s="9">
        <f>100000 * EXP(-Makeham_A*('Life Table'!$B128-$B$9) - Makeham_B/LN(Makeham_c) * (Makeham_c^'Life Table'!$B128 - Makeham_c^$B$9))</f>
        <v>5.4205464122705384E-110</v>
      </c>
      <c r="D128" s="10">
        <f xml:space="preserve"> 1 - C129/'Life Table'!$C128</f>
        <v>0.99999999999999323</v>
      </c>
      <c r="E128" s="11">
        <f>1 + (1-'Life Table'!$D128) * (1+i)^(-1) * E129</f>
        <v>1.0000000000000064</v>
      </c>
      <c r="F128" s="12">
        <f>(1+i)^(-1) * 'Life Table'!$D128 + (1+i)^(-1) * (1-'Life Table'!$D128) * F129</f>
        <v>0.952380952380952</v>
      </c>
      <c r="G128" s="12">
        <f xml:space="preserve"> (1+i)^(-2) * 'Life Table'!$D128 + (1+i)^(-2) * (1-'Life Table'!$D128) * G129</f>
        <v>0.90702947845804927</v>
      </c>
      <c r="H128" s="23"/>
      <c r="I128" s="23"/>
      <c r="J128" s="23"/>
      <c r="K128" s="23"/>
      <c r="L128" s="23"/>
      <c r="M128" s="23"/>
      <c r="N128" s="23"/>
      <c r="O128" s="24">
        <f t="shared" si="5"/>
        <v>139</v>
      </c>
    </row>
    <row r="129" spans="2:15" hidden="1" x14ac:dyDescent="0.25">
      <c r="B129" s="13">
        <v>140</v>
      </c>
      <c r="C129" s="14">
        <f>100000 * EXP(-Makeham_A*('Life Table'!$B129-$B$9) - Makeham_B/LN(Makeham_c) * (Makeham_c^'Life Table'!$B129 - Makeham_c^$B$9))</f>
        <v>3.6843920467491711E-124</v>
      </c>
      <c r="D129" s="17"/>
      <c r="E129" s="15">
        <f>1</f>
        <v>1</v>
      </c>
      <c r="F129" s="16">
        <f>(1+i)^(-1)</f>
        <v>0.95238095238095233</v>
      </c>
      <c r="G129" s="16">
        <f xml:space="preserve"> (1+i)^(-2)</f>
        <v>0.90702947845804982</v>
      </c>
      <c r="H129" s="17"/>
      <c r="I129" s="17"/>
      <c r="J129" s="17"/>
      <c r="K129" s="17"/>
      <c r="L129" s="17"/>
      <c r="M129" s="17"/>
      <c r="N129" s="17"/>
      <c r="O129" s="18">
        <f t="shared" si="5"/>
        <v>140</v>
      </c>
    </row>
  </sheetData>
  <mergeCells count="2">
    <mergeCell ref="B1:O1"/>
    <mergeCell ref="B2:O2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631F1-777D-475B-801C-1D80C43133A8}">
  <dimension ref="B2:H21"/>
  <sheetViews>
    <sheetView tabSelected="1" workbookViewId="0">
      <selection activeCell="J15" sqref="J15"/>
    </sheetView>
  </sheetViews>
  <sheetFormatPr defaultRowHeight="15" x14ac:dyDescent="0.25"/>
  <cols>
    <col min="2" max="3" width="11" customWidth="1"/>
    <col min="5" max="5" width="30.85546875" bestFit="1" customWidth="1"/>
    <col min="6" max="6" width="12.5703125" customWidth="1"/>
    <col min="7" max="7" width="7.7109375" customWidth="1"/>
    <col min="8" max="8" width="13.85546875" customWidth="1"/>
  </cols>
  <sheetData>
    <row r="2" spans="2:8" ht="18.75" x14ac:dyDescent="0.3">
      <c r="B2" s="48" t="s">
        <v>5</v>
      </c>
      <c r="C2" s="25">
        <v>40</v>
      </c>
    </row>
    <row r="3" spans="2:8" ht="18.75" x14ac:dyDescent="0.3">
      <c r="B3" s="48" t="s">
        <v>7</v>
      </c>
      <c r="C3" s="25">
        <v>40</v>
      </c>
    </row>
    <row r="4" spans="2:8" ht="18.75" x14ac:dyDescent="0.3">
      <c r="B4" s="48" t="s">
        <v>16</v>
      </c>
      <c r="C4" s="25">
        <v>12</v>
      </c>
    </row>
    <row r="6" spans="2:8" ht="20.25" x14ac:dyDescent="0.35">
      <c r="B6" s="49" t="s">
        <v>39</v>
      </c>
      <c r="C6" s="34">
        <f>_xlfn.XLOOKUP(x, 'Life Table'!$B$9:$B$129, 'Life Table'!$C$9:$C$129)</f>
        <v>99338.256264512791</v>
      </c>
      <c r="E6" s="52" t="s">
        <v>8</v>
      </c>
    </row>
    <row r="7" spans="2:8" ht="20.25" x14ac:dyDescent="0.35">
      <c r="B7" s="50" t="s">
        <v>40</v>
      </c>
      <c r="C7" s="35">
        <f>_xlfn.XLOOKUP(x+n, 'Life Table'!$B$9:$B$129, 'Life Table'!$C$9:$C$129)</f>
        <v>75657.159637089717</v>
      </c>
      <c r="E7" s="19"/>
      <c r="F7" s="20" t="s">
        <v>19</v>
      </c>
      <c r="G7" s="20" t="s">
        <v>10</v>
      </c>
      <c r="H7" s="21" t="s">
        <v>11</v>
      </c>
    </row>
    <row r="8" spans="2:8" ht="20.25" x14ac:dyDescent="0.35">
      <c r="B8" s="49" t="s">
        <v>41</v>
      </c>
      <c r="C8" s="36">
        <f>C7/C6</f>
        <v>0.76161151284590434</v>
      </c>
      <c r="E8" s="2" t="s">
        <v>9</v>
      </c>
      <c r="F8" s="6">
        <f>C12</f>
        <v>0.12105921086937974</v>
      </c>
      <c r="G8" s="6">
        <f>C12 - C14*C13</f>
        <v>5.6913561188234874E-2</v>
      </c>
      <c r="H8" s="42">
        <f>G8+$C$14</f>
        <v>0.16509718817817817</v>
      </c>
    </row>
    <row r="9" spans="2:8" ht="20.25" x14ac:dyDescent="0.35">
      <c r="B9" s="53" t="s">
        <v>42</v>
      </c>
      <c r="C9" s="37">
        <f>1-C8</f>
        <v>0.23838848715409566</v>
      </c>
      <c r="E9" s="8" t="s">
        <v>12</v>
      </c>
      <c r="F9" s="12">
        <f>i/C18 * F8</f>
        <v>0.1238090459221925</v>
      </c>
      <c r="G9" s="12">
        <f xml:space="preserve"> i/C18 * G8</f>
        <v>5.8206341014006867E-2</v>
      </c>
      <c r="H9" s="43">
        <f>G9+$C$14</f>
        <v>0.16638996800395017</v>
      </c>
    </row>
    <row r="10" spans="2:8" ht="20.25" x14ac:dyDescent="0.35">
      <c r="B10" s="49" t="s">
        <v>46</v>
      </c>
      <c r="C10" s="38">
        <f>_xlfn.XLOOKUP(x, 'Life Table'!$B$9:$B$129, 'Life Table'!$E$9:$E$129)</f>
        <v>18.457756571743008</v>
      </c>
      <c r="E10" s="2" t="s">
        <v>13</v>
      </c>
      <c r="F10" s="6">
        <f>i/C17 * F8</f>
        <v>0.12406108170591647</v>
      </c>
      <c r="G10" s="6">
        <f>i/C17 * G8</f>
        <v>5.832483058531323E-2</v>
      </c>
      <c r="H10" s="42">
        <f>G10+$C$14</f>
        <v>0.16650845757525654</v>
      </c>
    </row>
    <row r="11" spans="2:8" ht="20.25" x14ac:dyDescent="0.35">
      <c r="B11" s="50" t="s">
        <v>47</v>
      </c>
      <c r="C11" s="39">
        <f>_xlfn.XLOOKUP(x+n, 'Life Table'!$B$9:$B$129, 'Life Table'!$E$9:$E$129)</f>
        <v>8.5484056064300304</v>
      </c>
      <c r="E11" s="8" t="s">
        <v>14</v>
      </c>
      <c r="F11" s="12">
        <f>F8*(1+i)^((m-1)/(2*m))</f>
        <v>0.12379685183835419</v>
      </c>
      <c r="G11" s="12">
        <f>G8*(1+i)^((m-1)/(2*m))</f>
        <v>5.8200608209937839E-2</v>
      </c>
      <c r="H11" s="43">
        <f>G11+$C$14</f>
        <v>0.16638423519988113</v>
      </c>
    </row>
    <row r="12" spans="2:8" ht="20.25" x14ac:dyDescent="0.35">
      <c r="B12" s="49" t="s">
        <v>43</v>
      </c>
      <c r="C12" s="40">
        <f>_xlfn.XLOOKUP(x, 'Life Table'!$B$9:$B$129, 'Life Table'!$F$9:$F$129)</f>
        <v>0.12105921086937974</v>
      </c>
      <c r="E12" s="13" t="s">
        <v>15</v>
      </c>
      <c r="F12" s="16">
        <f>F8*(1+i)^(1/2)</f>
        <v>0.12404877735444553</v>
      </c>
      <c r="G12" s="16">
        <f>G8*(1+i)^(1/2)</f>
        <v>5.8319045941127183E-2</v>
      </c>
      <c r="H12" s="44">
        <f>G12+$C$14</f>
        <v>0.16650267293107049</v>
      </c>
    </row>
    <row r="13" spans="2:8" ht="20.25" x14ac:dyDescent="0.35">
      <c r="B13" s="50" t="s">
        <v>44</v>
      </c>
      <c r="C13" s="41">
        <f>_xlfn.XLOOKUP(x+n, 'Life Table'!$B$9:$B$129, 'Life Table'!$F$9:$F$129)</f>
        <v>0.59293306636047438</v>
      </c>
    </row>
    <row r="14" spans="2:8" ht="20.25" x14ac:dyDescent="0.35">
      <c r="B14" s="54" t="s">
        <v>45</v>
      </c>
      <c r="C14" s="40">
        <f>(1+i)^(-n) * C8</f>
        <v>0.1081836269899433</v>
      </c>
    </row>
    <row r="15" spans="2:8" ht="18.75" x14ac:dyDescent="0.3">
      <c r="B15" s="50" t="s">
        <v>1</v>
      </c>
      <c r="C15" s="41">
        <f>i</f>
        <v>0.05</v>
      </c>
      <c r="E15" s="52" t="s">
        <v>18</v>
      </c>
    </row>
    <row r="16" spans="2:8" ht="18.75" x14ac:dyDescent="0.3">
      <c r="B16" s="49" t="s">
        <v>25</v>
      </c>
      <c r="C16" s="40">
        <f xml:space="preserve"> i/(1+i)</f>
        <v>4.7619047619047616E-2</v>
      </c>
      <c r="E16" s="19"/>
      <c r="F16" s="20" t="s">
        <v>19</v>
      </c>
      <c r="G16" s="21" t="s">
        <v>10</v>
      </c>
    </row>
    <row r="17" spans="2:7" ht="18.75" x14ac:dyDescent="0.3">
      <c r="B17" s="50" t="s">
        <v>26</v>
      </c>
      <c r="C17" s="41">
        <f>LN(1+i)</f>
        <v>4.8790164169432049E-2</v>
      </c>
      <c r="E17" s="2" t="s">
        <v>9</v>
      </c>
      <c r="F17" s="5">
        <f>C10</f>
        <v>18.457756571743008</v>
      </c>
      <c r="G17" s="45">
        <f>C10-C14*C11</f>
        <v>17.532959048258242</v>
      </c>
    </row>
    <row r="18" spans="2:7" ht="18.75" x14ac:dyDescent="0.3">
      <c r="B18" s="49" t="s">
        <v>17</v>
      </c>
      <c r="C18" s="40">
        <f>m*((1+i)^(1/m)-1)</f>
        <v>4.8889485403780242E-2</v>
      </c>
      <c r="E18" s="8" t="s">
        <v>12</v>
      </c>
      <c r="F18" s="11">
        <f>C20*F17 - C21</f>
        <v>17.994884937258909</v>
      </c>
      <c r="G18" s="46">
        <f xml:space="preserve"> C20*G17 - C21*(1-C14)</f>
        <v>17.120373747868598</v>
      </c>
    </row>
    <row r="19" spans="2:7" ht="18.75" x14ac:dyDescent="0.3">
      <c r="B19" s="50" t="s">
        <v>22</v>
      </c>
      <c r="C19" s="41">
        <f xml:space="preserve"> m * (1-(1+i)^(-1/m))</f>
        <v>4.8691111787196206E-2</v>
      </c>
      <c r="E19" s="2" t="s">
        <v>13</v>
      </c>
      <c r="F19" s="5">
        <f xml:space="preserve"> (i*C16)/C17^2 * F17 - (i-C17)/C17^2</f>
        <v>17.953186532683873</v>
      </c>
      <c r="G19" s="45">
        <f xml:space="preserve"> (i*C16)/C17^2 * G17 - (i-C17)/C17^2*(1-C14)</f>
        <v>17.083187905051993</v>
      </c>
    </row>
    <row r="20" spans="2:7" ht="18.75" x14ac:dyDescent="0.3">
      <c r="B20" s="49" t="s">
        <v>23</v>
      </c>
      <c r="C20" s="40">
        <f xml:space="preserve"> (i * (i/(1+i))) / (C18*C19)</f>
        <v>1.0001970112199121</v>
      </c>
      <c r="E20" s="8" t="s">
        <v>20</v>
      </c>
      <c r="F20" s="11">
        <f>F17 - (m-1)/(2*m)</f>
        <v>17.999423238409676</v>
      </c>
      <c r="G20" s="46">
        <f xml:space="preserve"> G17 - (m-1)/(2*m)*(1-C14)</f>
        <v>17.1242098772953</v>
      </c>
    </row>
    <row r="21" spans="2:7" ht="18.75" x14ac:dyDescent="0.3">
      <c r="B21" s="51" t="s">
        <v>24</v>
      </c>
      <c r="C21" s="30">
        <f xml:space="preserve"> (i - C18) / (C18*C19)</f>
        <v>0.46650801962313881</v>
      </c>
      <c r="E21" s="13" t="s">
        <v>21</v>
      </c>
      <c r="F21" s="15">
        <f xml:space="preserve"> F17 - 1/2</f>
        <v>17.957756571743008</v>
      </c>
      <c r="G21" s="47">
        <f xml:space="preserve"> G17 - (1/2)*(1-C14)</f>
        <v>17.087050861753212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</vt:i4>
      </vt:variant>
    </vt:vector>
  </HeadingPairs>
  <TitlesOfParts>
    <vt:vector size="9" baseType="lpstr">
      <vt:lpstr>Life Table</vt:lpstr>
      <vt:lpstr>Actuarial Functions</vt:lpstr>
      <vt:lpstr>i</vt:lpstr>
      <vt:lpstr>m</vt:lpstr>
      <vt:lpstr>Makeham_A</vt:lpstr>
      <vt:lpstr>Makeham_B</vt:lpstr>
      <vt:lpstr>Makeham_c</vt:lpstr>
      <vt:lpstr>n</vt:lpstr>
      <vt:lpstr>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2026-06-19T14:58:56Z</dcterms:modified>
</cp:coreProperties>
</file>